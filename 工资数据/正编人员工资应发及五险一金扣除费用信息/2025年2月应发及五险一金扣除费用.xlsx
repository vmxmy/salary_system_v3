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AK1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含年休、双薪、不含目标奖个税
</t>
        </r>
      </text>
    </comment>
  </commentList>
</comments>
</file>

<file path=xl/sharedStrings.xml><?xml version="1.0" encoding="utf-8"?>
<sst xmlns="http://schemas.openxmlformats.org/spreadsheetml/2006/main" count="261" uniqueCount="145">
  <si>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</si>
  <si>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</si>
  <si>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</si>
  <si>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</si>
  <si>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</si>
  <si>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</si>
  <si>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</si>
  <si>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</si>
  <si>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</si>
  <si>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应发工资</t>
  </si>
  <si>
    <t>实发工资</t>
  </si>
  <si>
    <t>扣发合计</t>
  </si>
  <si>
    <t>职务/技术等级工资</t>
  </si>
  <si>
    <t>级别/岗位级别工资</t>
  </si>
  <si>
    <t>基础绩效奖</t>
  </si>
  <si>
    <t>93年工改保留补贴</t>
  </si>
  <si>
    <t>独生子女父母奖励金</t>
  </si>
  <si>
    <t>公务员规范性津贴补贴</t>
  </si>
  <si>
    <t>公务交通补贴</t>
  </si>
  <si>
    <t>岗位工资</t>
  </si>
  <si>
    <t>薪级工资</t>
  </si>
  <si>
    <t>见习试用期工资</t>
  </si>
  <si>
    <t>月基础绩效</t>
  </si>
  <si>
    <t>月奖励绩效</t>
  </si>
  <si>
    <t>岗位职务补贴</t>
  </si>
  <si>
    <t>信访工作人员岗位津贴</t>
  </si>
  <si>
    <t>乡镇工作补贴</t>
  </si>
  <si>
    <t>补扣社保</t>
  </si>
  <si>
    <t>一次性补扣发</t>
  </si>
  <si>
    <t>绩效奖金补扣发</t>
  </si>
  <si>
    <t>奖励绩效补扣发</t>
  </si>
  <si>
    <t>个人缴养老保险费</t>
  </si>
  <si>
    <t>个人缴医疗保险费</t>
  </si>
  <si>
    <t>个人缴职业年金</t>
  </si>
  <si>
    <t>个人缴失业保险费</t>
  </si>
  <si>
    <t>个人缴住房公积金</t>
  </si>
  <si>
    <t>个人所得税</t>
  </si>
  <si>
    <t>00003</t>
  </si>
  <si>
    <t>汪琳</t>
  </si>
  <si>
    <t>510103197108310040</t>
  </si>
  <si>
    <t>已登记公务员</t>
  </si>
  <si>
    <t>县处级正职</t>
  </si>
  <si>
    <t>是</t>
  </si>
  <si>
    <t>00004</t>
  </si>
  <si>
    <t>韩霜</t>
  </si>
  <si>
    <t>511002197402181525</t>
  </si>
  <si>
    <t>00007</t>
  </si>
  <si>
    <t>李薇</t>
  </si>
  <si>
    <t>510212197210121627</t>
  </si>
  <si>
    <t>综合类公务员</t>
  </si>
  <si>
    <t>一级主任科员</t>
  </si>
  <si>
    <t>00008</t>
  </si>
  <si>
    <t>蒲薇</t>
  </si>
  <si>
    <t>510104198105140665</t>
  </si>
  <si>
    <t>00010</t>
  </si>
  <si>
    <t>吕果</t>
  </si>
  <si>
    <t>510107197509030897</t>
  </si>
  <si>
    <t>机关技术工人</t>
  </si>
  <si>
    <t>高级工</t>
  </si>
  <si>
    <t>00016</t>
  </si>
  <si>
    <t>黄明</t>
  </si>
  <si>
    <t>513401196804180245</t>
  </si>
  <si>
    <t>00017</t>
  </si>
  <si>
    <t>冉光俊</t>
  </si>
  <si>
    <t>510103197309155710</t>
  </si>
  <si>
    <t>一级调研员</t>
  </si>
  <si>
    <t>00002</t>
  </si>
  <si>
    <t>熊静</t>
  </si>
  <si>
    <t>510102197005034083</t>
  </si>
  <si>
    <t>参公人员</t>
  </si>
  <si>
    <t>方敬玉</t>
  </si>
  <si>
    <t>510102196903083202</t>
  </si>
  <si>
    <t>县处级副职</t>
  </si>
  <si>
    <t>00005</t>
  </si>
  <si>
    <t>高洪艳</t>
  </si>
  <si>
    <t>510103197106094225</t>
  </si>
  <si>
    <t>罗蓉</t>
  </si>
  <si>
    <t>510106197511143528</t>
  </si>
  <si>
    <t>00009</t>
  </si>
  <si>
    <t>杨洋</t>
  </si>
  <si>
    <t>510106197512164128</t>
  </si>
  <si>
    <t>何婷</t>
  </si>
  <si>
    <t>510102197110271064</t>
  </si>
  <si>
    <t>00012</t>
  </si>
  <si>
    <t>廖希</t>
  </si>
  <si>
    <t>510113198101150029</t>
  </si>
  <si>
    <t>00013</t>
  </si>
  <si>
    <t>包晓静</t>
  </si>
  <si>
    <t>51010719800901262X</t>
  </si>
  <si>
    <t>00014</t>
  </si>
  <si>
    <t>李文媛</t>
  </si>
  <si>
    <t>370902197908020026</t>
  </si>
  <si>
    <t>刘丹</t>
  </si>
  <si>
    <t>513101198306270320</t>
  </si>
  <si>
    <t>00019</t>
  </si>
  <si>
    <t>马霜</t>
  </si>
  <si>
    <t>511302198612070349</t>
  </si>
  <si>
    <t>00022</t>
  </si>
  <si>
    <t>邱高长青</t>
  </si>
  <si>
    <t>511524199204180024</t>
  </si>
  <si>
    <t>00025</t>
  </si>
  <si>
    <t>周宏伟</t>
  </si>
  <si>
    <t>429006198705292113</t>
  </si>
  <si>
    <t>二级主任科员</t>
  </si>
  <si>
    <t>00026</t>
  </si>
  <si>
    <t>周雪莲</t>
  </si>
  <si>
    <t>511323198111206326</t>
  </si>
  <si>
    <t>00029</t>
  </si>
  <si>
    <t>谷颖</t>
  </si>
  <si>
    <t>512528197506224093</t>
  </si>
  <si>
    <t>00036</t>
  </si>
  <si>
    <t>胡潇</t>
  </si>
  <si>
    <t>511113199412223323</t>
  </si>
  <si>
    <t>三级主任科员</t>
  </si>
  <si>
    <t>00038</t>
  </si>
  <si>
    <t>田原</t>
  </si>
  <si>
    <t>513030199904070047</t>
  </si>
  <si>
    <t>四级主任科员</t>
  </si>
  <si>
    <t>刘嘉</t>
  </si>
  <si>
    <t>51010419790927236X</t>
  </si>
  <si>
    <t>事业技术工人</t>
  </si>
  <si>
    <t>技术工三级</t>
  </si>
  <si>
    <t>张磊</t>
  </si>
  <si>
    <t>511111198901171715</t>
  </si>
  <si>
    <t>管理人员</t>
  </si>
  <si>
    <t>六级管理岗位</t>
  </si>
  <si>
    <t>胡艺山</t>
  </si>
  <si>
    <t>510522198903201295</t>
  </si>
  <si>
    <t>七级管理岗位</t>
  </si>
  <si>
    <t>00011</t>
  </si>
  <si>
    <t>李庆</t>
  </si>
  <si>
    <t>510107197706032170</t>
  </si>
  <si>
    <t>五级管理岗位</t>
  </si>
  <si>
    <t>唐国晋</t>
  </si>
  <si>
    <t>511381199708288596</t>
  </si>
  <si>
    <t>八级管理岗位</t>
  </si>
  <si>
    <t>00020</t>
  </si>
  <si>
    <t>张福祥</t>
  </si>
  <si>
    <t>230621199504160058</t>
  </si>
  <si>
    <t>00021</t>
  </si>
  <si>
    <t>杨钰婕</t>
  </si>
  <si>
    <t>511102199707145925</t>
  </si>
  <si>
    <t>李汶卿</t>
  </si>
  <si>
    <t>620503199907198039</t>
  </si>
  <si>
    <t>试用期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</si>
</sst>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Times New Roman"/>
      <charset val="134"/>
    </font>
    <font>
      <b/>
      <sz val="8"/>
      <name val="宋体"/>
      <charset val="134"/>
      <scheme val="major"/>
    </font>
    <font>
      <b/>
      <sz val="8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8"/>
      <name val="宋体"/>
      <charset val="134"/>
      <scheme val="minor"/>
    </font>
    <font>
      <b/>
      <sz val="8"/>
      <color theme="1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shrinkToFit="1"/>
    </xf>
    <xf numFmtId="0" fontId="2" fillId="0" borderId="1" xfId="0" applyFont="1" applyFill="1" applyBorder="1" applyAlignment="1">
      <alignment vertical="center" shrinkToFit="1"/>
    </xf>
    <xf numFmtId="4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shrinkToFit="1"/>
    </xf>
    <xf numFmtId="176" fontId="4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shrinkToFit="1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vertical="center"/>
    </xf>
    <xf numFmtId="4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vertical="center" shrinkToFit="1"/>
    </xf>
    <xf numFmtId="0" fontId="0" fillId="0" borderId="1" xfId="0" applyFill="1" applyBorder="1" applyAlignment="1">
      <alignment vertical="center"/>
    </xf>
    <xf numFmtId="0" fontId="1" fillId="0" borderId="1" xfId="0" applyFont="1" applyBorder="1" applyAlignment="1">
      <alignment vertical="center" shrinkToFit="1"/>
    </xf>
    <xf numFmtId="176" fontId="7" fillId="0" borderId="1" xfId="0" applyNumberFormat="1" applyFont="1" applyFill="1" applyBorder="1" applyAlignment="1">
      <alignment vertical="center"/>
    </xf>
    <xf numFmtId="4" fontId="8" fillId="0" borderId="1" xfId="0" applyNumberFormat="1" applyFont="1" applyFill="1" applyBorder="1" applyAlignment="1">
      <alignment wrapText="1"/>
    </xf>
    <xf numFmtId="176" fontId="8" fillId="0" borderId="1" xfId="0" applyNumberFormat="1" applyFont="1" applyFill="1" applyBorder="1" applyAlignment="1">
      <alignment wrapText="1"/>
    </xf>
    <xf numFmtId="0" fontId="1" fillId="0" borderId="1" xfId="0" applyFont="1" applyFill="1" applyBorder="1" applyAlignment="1" quotePrefix="1">
      <alignment vertical="center" shrinkToFit="1"/>
    </xf>
    <xf numFmtId="0" fontId="2" fillId="0" borderId="1" xfId="0" applyFont="1" applyFill="1" applyBorder="1" applyAlignment="1" quotePrefix="1">
      <alignment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3"/>
  <sheetViews>
    <sheetView tabSelected="1" workbookViewId="0">
      <pane xSplit="3" topLeftCell="D1" activePane="topRight" state="frozen"/>
      <selection/>
      <selection pane="topRight" activeCell="N30" sqref="N30"/>
    </sheetView>
  </sheetViews>
  <sheetFormatPr defaultColWidth="9" defaultRowHeight="13.5"/>
  <cols>
    <col min="4" max="4" width="17.875" customWidth="1"/>
    <col min="7" max="7" width="11.25" customWidth="1"/>
    <col min="28" max="28" width="9.375"/>
    <col min="32" max="32" width="9.375"/>
    <col min="36" max="36" width="9.375"/>
  </cols>
  <sheetData>
    <row r="1" ht="24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5" t="s">
        <v>27</v>
      </c>
      <c r="AC1" s="1" t="s">
        <v>28</v>
      </c>
      <c r="AD1" s="1" t="s">
        <v>29</v>
      </c>
      <c r="AE1" s="13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</row>
    <row r="2" spans="1:37">
      <c r="A2" s="2">
        <v>1</v>
      </c>
      <c r="B2" s="22" t="s">
        <v>37</v>
      </c>
      <c r="C2" s="3" t="s">
        <v>38</v>
      </c>
      <c r="D2" s="22" t="s">
        <v>39</v>
      </c>
      <c r="E2" s="3"/>
      <c r="F2" s="3" t="s">
        <v>40</v>
      </c>
      <c r="G2" s="3" t="s">
        <v>41</v>
      </c>
      <c r="H2" s="3" t="s">
        <v>42</v>
      </c>
      <c r="I2" s="3" t="s">
        <v>42</v>
      </c>
      <c r="J2" s="6">
        <v>29121</v>
      </c>
      <c r="K2" s="7">
        <f t="shared" ref="K2:K33" si="0">J2-L2-AB2</f>
        <v>22821.2</v>
      </c>
      <c r="L2" s="7">
        <f>SUM(AF2:AK2)</f>
        <v>6290.58</v>
      </c>
      <c r="M2" s="6">
        <v>2770</v>
      </c>
      <c r="N2" s="6">
        <v>4049</v>
      </c>
      <c r="O2" s="8">
        <v>6920</v>
      </c>
      <c r="P2" s="3">
        <v>116</v>
      </c>
      <c r="Q2" s="3"/>
      <c r="R2" s="6">
        <v>6618</v>
      </c>
      <c r="S2" s="6">
        <v>1040</v>
      </c>
      <c r="T2" s="10"/>
      <c r="U2" s="10"/>
      <c r="V2" s="10"/>
      <c r="W2" s="10"/>
      <c r="X2" s="10"/>
      <c r="Y2" s="3"/>
      <c r="Z2" s="6"/>
      <c r="AA2" s="6"/>
      <c r="AB2" s="14">
        <v>9.22</v>
      </c>
      <c r="AC2" s="6">
        <f>6819+789</f>
        <v>7608</v>
      </c>
      <c r="AD2" s="6"/>
      <c r="AE2" s="6"/>
      <c r="AF2" s="15">
        <v>1613.76</v>
      </c>
      <c r="AG2" s="19">
        <v>403.44</v>
      </c>
      <c r="AH2" s="7">
        <v>806.88</v>
      </c>
      <c r="AI2" s="7"/>
      <c r="AJ2" s="20">
        <v>3303</v>
      </c>
      <c r="AK2" s="7">
        <v>163.5</v>
      </c>
    </row>
    <row r="3" spans="1:37">
      <c r="A3" s="2">
        <v>2</v>
      </c>
      <c r="B3" s="22" t="s">
        <v>43</v>
      </c>
      <c r="C3" s="3" t="s">
        <v>44</v>
      </c>
      <c r="D3" s="22" t="s">
        <v>45</v>
      </c>
      <c r="E3" s="3"/>
      <c r="F3" s="3" t="s">
        <v>40</v>
      </c>
      <c r="G3" s="3" t="s">
        <v>41</v>
      </c>
      <c r="H3" s="3" t="s">
        <v>42</v>
      </c>
      <c r="I3" s="3" t="s">
        <v>42</v>
      </c>
      <c r="J3" s="6">
        <v>28529</v>
      </c>
      <c r="K3" s="7">
        <f t="shared" si="0"/>
        <v>22216.9</v>
      </c>
      <c r="L3" s="7">
        <f t="shared" ref="L3:L33" si="1">SUM(AF3:AK3)</f>
        <v>6269.28</v>
      </c>
      <c r="M3" s="6">
        <v>2770</v>
      </c>
      <c r="N3" s="6">
        <v>3773</v>
      </c>
      <c r="O3" s="8">
        <v>6920</v>
      </c>
      <c r="P3" s="3">
        <v>116</v>
      </c>
      <c r="Q3" s="3"/>
      <c r="R3" s="6">
        <v>6618</v>
      </c>
      <c r="S3" s="6">
        <v>1040</v>
      </c>
      <c r="T3" s="10"/>
      <c r="U3" s="10"/>
      <c r="V3" s="10"/>
      <c r="W3" s="10"/>
      <c r="X3" s="10"/>
      <c r="Y3" s="3"/>
      <c r="Z3" s="6"/>
      <c r="AA3" s="6"/>
      <c r="AB3" s="14">
        <v>42.82</v>
      </c>
      <c r="AC3" s="6">
        <f>6543+749</f>
        <v>7292</v>
      </c>
      <c r="AD3" s="6"/>
      <c r="AE3" s="6"/>
      <c r="AF3" s="15">
        <v>1593.36</v>
      </c>
      <c r="AG3" s="19">
        <v>398.34</v>
      </c>
      <c r="AH3" s="7">
        <v>796.68</v>
      </c>
      <c r="AI3" s="7"/>
      <c r="AJ3" s="20">
        <v>3323</v>
      </c>
      <c r="AK3" s="7">
        <v>157.9</v>
      </c>
    </row>
    <row r="4" spans="1:37">
      <c r="A4" s="2">
        <v>3</v>
      </c>
      <c r="B4" s="22" t="s">
        <v>46</v>
      </c>
      <c r="C4" s="3" t="s">
        <v>47</v>
      </c>
      <c r="D4" s="22" t="s">
        <v>48</v>
      </c>
      <c r="E4" s="3"/>
      <c r="F4" s="3" t="s">
        <v>49</v>
      </c>
      <c r="G4" s="3" t="s">
        <v>50</v>
      </c>
      <c r="H4" s="3" t="s">
        <v>42</v>
      </c>
      <c r="I4" s="3" t="s">
        <v>42</v>
      </c>
      <c r="J4" s="6">
        <v>22411</v>
      </c>
      <c r="K4" s="7">
        <f t="shared" si="0"/>
        <v>17539.28</v>
      </c>
      <c r="L4" s="7">
        <f t="shared" si="1"/>
        <v>4832.86</v>
      </c>
      <c r="M4" s="6">
        <v>1780</v>
      </c>
      <c r="N4" s="6">
        <v>3439</v>
      </c>
      <c r="O4" s="8">
        <v>5050</v>
      </c>
      <c r="P4" s="3">
        <v>116</v>
      </c>
      <c r="Q4" s="3"/>
      <c r="R4" s="6">
        <v>5529</v>
      </c>
      <c r="S4" s="6">
        <v>650</v>
      </c>
      <c r="T4" s="10"/>
      <c r="U4" s="10"/>
      <c r="V4" s="10"/>
      <c r="W4" s="10"/>
      <c r="X4" s="10"/>
      <c r="Y4" s="3"/>
      <c r="Z4" s="6"/>
      <c r="AA4" s="6"/>
      <c r="AB4" s="14">
        <v>38.86</v>
      </c>
      <c r="AC4" s="6">
        <f>5219+628</f>
        <v>5847</v>
      </c>
      <c r="AD4" s="6"/>
      <c r="AE4" s="6"/>
      <c r="AF4" s="15">
        <v>1252.56</v>
      </c>
      <c r="AG4" s="19">
        <v>313.14</v>
      </c>
      <c r="AH4" s="7">
        <v>626.28</v>
      </c>
      <c r="AI4" s="7"/>
      <c r="AJ4" s="20">
        <v>2521</v>
      </c>
      <c r="AK4" s="7">
        <v>119.88</v>
      </c>
    </row>
    <row r="5" spans="1:37">
      <c r="A5" s="2">
        <v>4</v>
      </c>
      <c r="B5" s="22" t="s">
        <v>51</v>
      </c>
      <c r="C5" s="3" t="s">
        <v>52</v>
      </c>
      <c r="D5" s="22" t="s">
        <v>53</v>
      </c>
      <c r="E5" s="3"/>
      <c r="F5" s="3" t="s">
        <v>49</v>
      </c>
      <c r="G5" s="3" t="s">
        <v>50</v>
      </c>
      <c r="H5" s="3" t="s">
        <v>42</v>
      </c>
      <c r="I5" s="3" t="s">
        <v>42</v>
      </c>
      <c r="J5" s="6">
        <v>20806</v>
      </c>
      <c r="K5" s="7">
        <f t="shared" si="0"/>
        <v>16508.7</v>
      </c>
      <c r="L5" s="7">
        <f t="shared" si="1"/>
        <v>4427.08</v>
      </c>
      <c r="M5" s="6">
        <v>1780</v>
      </c>
      <c r="N5" s="6">
        <v>2685</v>
      </c>
      <c r="O5" s="8">
        <v>5050</v>
      </c>
      <c r="P5" s="3">
        <v>116</v>
      </c>
      <c r="Q5" s="3"/>
      <c r="R5" s="6">
        <v>5529</v>
      </c>
      <c r="S5" s="6">
        <v>650</v>
      </c>
      <c r="T5" s="10"/>
      <c r="U5" s="10"/>
      <c r="V5" s="10"/>
      <c r="W5" s="10"/>
      <c r="X5" s="10"/>
      <c r="Y5" s="3"/>
      <c r="Z5" s="6"/>
      <c r="AA5" s="6"/>
      <c r="AB5" s="14">
        <v>-129.78</v>
      </c>
      <c r="AC5" s="6">
        <f>4465+531</f>
        <v>4996</v>
      </c>
      <c r="AD5" s="6"/>
      <c r="AE5" s="6"/>
      <c r="AF5" s="15">
        <v>1195.76</v>
      </c>
      <c r="AG5" s="19">
        <v>298.94</v>
      </c>
      <c r="AH5" s="7">
        <v>597.88</v>
      </c>
      <c r="AI5" s="7"/>
      <c r="AJ5" s="20">
        <v>2274</v>
      </c>
      <c r="AK5" s="7">
        <v>60.5</v>
      </c>
    </row>
    <row r="6" spans="1:37">
      <c r="A6" s="2">
        <v>5</v>
      </c>
      <c r="B6" s="22" t="s">
        <v>54</v>
      </c>
      <c r="C6" s="3" t="s">
        <v>55</v>
      </c>
      <c r="D6" s="22" t="s">
        <v>56</v>
      </c>
      <c r="E6" s="3"/>
      <c r="F6" s="3" t="s">
        <v>57</v>
      </c>
      <c r="G6" s="3" t="s">
        <v>58</v>
      </c>
      <c r="H6" s="3" t="s">
        <v>42</v>
      </c>
      <c r="I6" s="3" t="s">
        <v>42</v>
      </c>
      <c r="J6" s="6">
        <v>17919</v>
      </c>
      <c r="K6" s="7">
        <f t="shared" si="0"/>
        <v>13828.16</v>
      </c>
      <c r="L6" s="7">
        <f t="shared" si="1"/>
        <v>4145.86</v>
      </c>
      <c r="M6" s="6">
        <v>1200</v>
      </c>
      <c r="N6" s="6">
        <v>2298</v>
      </c>
      <c r="O6" s="8">
        <v>4450</v>
      </c>
      <c r="P6" s="6">
        <v>116</v>
      </c>
      <c r="Q6" s="3">
        <v>5</v>
      </c>
      <c r="R6" s="6">
        <v>5451</v>
      </c>
      <c r="S6" s="6">
        <v>500</v>
      </c>
      <c r="T6" s="10"/>
      <c r="U6" s="10"/>
      <c r="V6" s="10"/>
      <c r="W6" s="10"/>
      <c r="X6" s="10"/>
      <c r="Y6" s="3"/>
      <c r="Z6" s="6"/>
      <c r="AA6" s="6"/>
      <c r="AB6" s="14">
        <v>-55.02</v>
      </c>
      <c r="AC6" s="6">
        <f>3498+401</f>
        <v>3899</v>
      </c>
      <c r="AD6" s="6"/>
      <c r="AE6" s="6"/>
      <c r="AF6" s="15">
        <v>1069.04</v>
      </c>
      <c r="AG6" s="19">
        <v>267.26</v>
      </c>
      <c r="AH6" s="7">
        <v>534.52</v>
      </c>
      <c r="AI6" s="7"/>
      <c r="AJ6" s="20">
        <v>2204</v>
      </c>
      <c r="AK6" s="7">
        <v>71.04</v>
      </c>
    </row>
    <row r="7" spans="1:37">
      <c r="A7" s="2">
        <v>6</v>
      </c>
      <c r="B7" s="22" t="s">
        <v>59</v>
      </c>
      <c r="C7" s="3" t="s">
        <v>60</v>
      </c>
      <c r="D7" s="22" t="s">
        <v>61</v>
      </c>
      <c r="E7" s="3"/>
      <c r="F7" s="3" t="s">
        <v>40</v>
      </c>
      <c r="G7" s="3" t="s">
        <v>41</v>
      </c>
      <c r="H7" s="3" t="s">
        <v>42</v>
      </c>
      <c r="I7" s="3" t="s">
        <v>42</v>
      </c>
      <c r="J7" s="6">
        <v>31135</v>
      </c>
      <c r="K7" s="7">
        <f t="shared" si="0"/>
        <v>24046.93</v>
      </c>
      <c r="L7" s="7">
        <f t="shared" si="1"/>
        <v>6953.67</v>
      </c>
      <c r="M7" s="6">
        <v>2770</v>
      </c>
      <c r="N7" s="6">
        <v>4247</v>
      </c>
      <c r="O7" s="8">
        <v>7180</v>
      </c>
      <c r="P7" s="3">
        <v>116</v>
      </c>
      <c r="Q7" s="3"/>
      <c r="R7" s="6">
        <v>7951</v>
      </c>
      <c r="S7" s="6">
        <v>1040</v>
      </c>
      <c r="T7" s="10"/>
      <c r="U7" s="10"/>
      <c r="V7" s="10"/>
      <c r="W7" s="10"/>
      <c r="X7" s="10"/>
      <c r="Y7" s="3"/>
      <c r="Z7" s="6"/>
      <c r="AA7" s="6"/>
      <c r="AB7" s="14">
        <v>134.4</v>
      </c>
      <c r="AC7" s="6">
        <f>7017+814</f>
        <v>7831</v>
      </c>
      <c r="AD7" s="6"/>
      <c r="AE7" s="6"/>
      <c r="AF7" s="15">
        <v>1756.24</v>
      </c>
      <c r="AG7" s="19">
        <v>439.06</v>
      </c>
      <c r="AH7" s="7">
        <v>878.12</v>
      </c>
      <c r="AI7" s="7"/>
      <c r="AJ7" s="20">
        <v>3588</v>
      </c>
      <c r="AK7" s="7">
        <v>292.25</v>
      </c>
    </row>
    <row r="8" spans="1:37">
      <c r="A8" s="2">
        <v>7</v>
      </c>
      <c r="B8" s="22" t="s">
        <v>62</v>
      </c>
      <c r="C8" s="3" t="s">
        <v>63</v>
      </c>
      <c r="D8" s="22" t="s">
        <v>64</v>
      </c>
      <c r="E8" s="3"/>
      <c r="F8" s="3" t="s">
        <v>40</v>
      </c>
      <c r="G8" s="3" t="s">
        <v>65</v>
      </c>
      <c r="H8" s="3" t="s">
        <v>42</v>
      </c>
      <c r="I8" s="3" t="s">
        <v>42</v>
      </c>
      <c r="J8" s="6">
        <v>33823</v>
      </c>
      <c r="K8" s="7">
        <f t="shared" si="0"/>
        <v>26432.39</v>
      </c>
      <c r="L8" s="7">
        <f t="shared" si="1"/>
        <v>7178.29</v>
      </c>
      <c r="M8" s="6">
        <v>2940</v>
      </c>
      <c r="N8" s="6">
        <v>3653</v>
      </c>
      <c r="O8" s="8">
        <v>8260</v>
      </c>
      <c r="P8" s="6">
        <v>116</v>
      </c>
      <c r="Q8" s="6">
        <v>5</v>
      </c>
      <c r="R8" s="6">
        <v>9617</v>
      </c>
      <c r="S8" s="6">
        <v>1690</v>
      </c>
      <c r="T8" s="10"/>
      <c r="U8" s="10"/>
      <c r="V8" s="10"/>
      <c r="W8" s="10"/>
      <c r="X8" s="10"/>
      <c r="Y8" s="6"/>
      <c r="Z8" s="6"/>
      <c r="AA8" s="6"/>
      <c r="AB8" s="14">
        <v>212.32</v>
      </c>
      <c r="AC8" s="6">
        <f>6593+749</f>
        <v>7342</v>
      </c>
      <c r="AD8" s="6"/>
      <c r="AE8" s="6"/>
      <c r="AF8" s="15">
        <v>1804.4</v>
      </c>
      <c r="AG8" s="19">
        <v>451.1</v>
      </c>
      <c r="AH8" s="7">
        <v>902.2</v>
      </c>
      <c r="AI8" s="7"/>
      <c r="AJ8" s="20">
        <v>3764</v>
      </c>
      <c r="AK8" s="7">
        <v>256.59</v>
      </c>
    </row>
    <row r="9" spans="1:37">
      <c r="A9" s="2">
        <v>8</v>
      </c>
      <c r="B9" s="22" t="s">
        <v>66</v>
      </c>
      <c r="C9" s="3" t="s">
        <v>67</v>
      </c>
      <c r="D9" s="22" t="s">
        <v>68</v>
      </c>
      <c r="E9" s="3"/>
      <c r="F9" s="3" t="s">
        <v>69</v>
      </c>
      <c r="G9" s="3" t="s">
        <v>41</v>
      </c>
      <c r="H9" s="3" t="s">
        <v>42</v>
      </c>
      <c r="I9" s="3" t="s">
        <v>42</v>
      </c>
      <c r="J9" s="6">
        <v>30070</v>
      </c>
      <c r="K9" s="7">
        <f t="shared" si="0"/>
        <v>23482.65</v>
      </c>
      <c r="L9" s="7">
        <f t="shared" si="1"/>
        <v>6503.51</v>
      </c>
      <c r="M9" s="6">
        <v>2770</v>
      </c>
      <c r="N9" s="6">
        <v>4247</v>
      </c>
      <c r="O9" s="6">
        <v>6440</v>
      </c>
      <c r="P9" s="6">
        <v>116</v>
      </c>
      <c r="Q9" s="3"/>
      <c r="R9" s="6">
        <v>7626</v>
      </c>
      <c r="S9" s="6">
        <v>1040</v>
      </c>
      <c r="T9" s="10"/>
      <c r="U9" s="10"/>
      <c r="V9" s="10"/>
      <c r="W9" s="10"/>
      <c r="X9" s="10"/>
      <c r="Y9" s="10"/>
      <c r="Z9" s="3"/>
      <c r="AA9" s="3"/>
      <c r="AB9" s="14">
        <v>83.84</v>
      </c>
      <c r="AC9" s="16">
        <v>7831</v>
      </c>
      <c r="AD9" s="6"/>
      <c r="AE9" s="6"/>
      <c r="AF9" s="15">
        <v>1633.04</v>
      </c>
      <c r="AG9" s="19">
        <v>408.26</v>
      </c>
      <c r="AH9" s="7">
        <v>816.52</v>
      </c>
      <c r="AI9" s="7"/>
      <c r="AJ9" s="20">
        <v>3372</v>
      </c>
      <c r="AK9" s="7">
        <v>273.69</v>
      </c>
    </row>
    <row r="10" spans="1:37">
      <c r="A10" s="2">
        <v>9</v>
      </c>
      <c r="B10" s="22" t="s">
        <v>37</v>
      </c>
      <c r="C10" s="3" t="s">
        <v>70</v>
      </c>
      <c r="D10" s="22" t="s">
        <v>71</v>
      </c>
      <c r="E10" s="3"/>
      <c r="F10" s="3" t="s">
        <v>69</v>
      </c>
      <c r="G10" s="3" t="s">
        <v>72</v>
      </c>
      <c r="H10" s="3" t="s">
        <v>42</v>
      </c>
      <c r="I10" s="3" t="s">
        <v>42</v>
      </c>
      <c r="J10" s="6">
        <v>25018</v>
      </c>
      <c r="K10" s="7">
        <f t="shared" si="0"/>
        <v>19668.67</v>
      </c>
      <c r="L10" s="7">
        <f t="shared" si="1"/>
        <v>5281.51</v>
      </c>
      <c r="M10" s="6">
        <v>2160</v>
      </c>
      <c r="N10" s="6">
        <v>3868</v>
      </c>
      <c r="O10" s="6">
        <v>5480</v>
      </c>
      <c r="P10" s="6">
        <v>116</v>
      </c>
      <c r="Q10" s="3"/>
      <c r="R10" s="6">
        <v>5614</v>
      </c>
      <c r="S10" s="6">
        <v>1040</v>
      </c>
      <c r="T10" s="10"/>
      <c r="U10" s="10"/>
      <c r="V10" s="10"/>
      <c r="W10" s="10"/>
      <c r="X10" s="10"/>
      <c r="Y10" s="10"/>
      <c r="Z10" s="3"/>
      <c r="AA10" s="3"/>
      <c r="AB10" s="14">
        <v>67.82</v>
      </c>
      <c r="AC10" s="16">
        <v>6740</v>
      </c>
      <c r="AD10" s="6"/>
      <c r="AE10" s="6"/>
      <c r="AF10" s="15">
        <v>1357.52</v>
      </c>
      <c r="AG10" s="19">
        <v>339.38</v>
      </c>
      <c r="AH10" s="7">
        <v>678.76</v>
      </c>
      <c r="AI10" s="7"/>
      <c r="AJ10" s="20">
        <v>2807</v>
      </c>
      <c r="AK10" s="7">
        <v>98.85</v>
      </c>
    </row>
    <row r="11" spans="1:37">
      <c r="A11" s="2">
        <v>10</v>
      </c>
      <c r="B11" s="22" t="s">
        <v>73</v>
      </c>
      <c r="C11" s="3" t="s">
        <v>74</v>
      </c>
      <c r="D11" s="22" t="s">
        <v>75</v>
      </c>
      <c r="E11" s="3"/>
      <c r="F11" s="3" t="s">
        <v>69</v>
      </c>
      <c r="G11" s="3" t="s">
        <v>72</v>
      </c>
      <c r="H11" s="3" t="s">
        <v>42</v>
      </c>
      <c r="I11" s="3" t="s">
        <v>42</v>
      </c>
      <c r="J11" s="6">
        <v>25004</v>
      </c>
      <c r="K11" s="7">
        <f t="shared" si="0"/>
        <v>19325.02</v>
      </c>
      <c r="L11" s="7">
        <f t="shared" si="1"/>
        <v>5638.56</v>
      </c>
      <c r="M11" s="6">
        <v>2160</v>
      </c>
      <c r="N11" s="6">
        <v>3518</v>
      </c>
      <c r="O11" s="6">
        <v>5960</v>
      </c>
      <c r="P11" s="6">
        <v>116</v>
      </c>
      <c r="Q11" s="3"/>
      <c r="R11" s="6">
        <v>5864</v>
      </c>
      <c r="S11" s="6">
        <v>1040</v>
      </c>
      <c r="T11" s="10"/>
      <c r="U11" s="10"/>
      <c r="V11" s="10"/>
      <c r="W11" s="10"/>
      <c r="X11" s="10"/>
      <c r="Y11" s="10"/>
      <c r="Z11" s="3"/>
      <c r="AA11" s="3"/>
      <c r="AB11" s="14">
        <v>40.42</v>
      </c>
      <c r="AC11" s="16">
        <v>6346</v>
      </c>
      <c r="AD11" s="16"/>
      <c r="AE11" s="16"/>
      <c r="AF11" s="15">
        <v>1388.4</v>
      </c>
      <c r="AG11" s="19">
        <v>347.1</v>
      </c>
      <c r="AH11" s="7">
        <v>694.2</v>
      </c>
      <c r="AI11" s="7"/>
      <c r="AJ11" s="20">
        <v>3016</v>
      </c>
      <c r="AK11" s="7">
        <v>192.86</v>
      </c>
    </row>
    <row r="12" spans="1:37">
      <c r="A12" s="2">
        <v>11</v>
      </c>
      <c r="B12" s="22" t="s">
        <v>51</v>
      </c>
      <c r="C12" s="3" t="s">
        <v>76</v>
      </c>
      <c r="D12" s="22" t="s">
        <v>77</v>
      </c>
      <c r="E12" s="3"/>
      <c r="F12" s="3" t="s">
        <v>69</v>
      </c>
      <c r="G12" s="3" t="s">
        <v>50</v>
      </c>
      <c r="H12" s="3" t="s">
        <v>42</v>
      </c>
      <c r="I12" s="3" t="s">
        <v>42</v>
      </c>
      <c r="J12" s="6">
        <v>21578</v>
      </c>
      <c r="K12" s="7">
        <f t="shared" si="0"/>
        <v>16794.17</v>
      </c>
      <c r="L12" s="7">
        <f t="shared" si="1"/>
        <v>4709.21</v>
      </c>
      <c r="M12" s="6">
        <v>1780</v>
      </c>
      <c r="N12" s="6">
        <v>3045</v>
      </c>
      <c r="O12" s="6">
        <v>5050</v>
      </c>
      <c r="P12" s="6">
        <v>116</v>
      </c>
      <c r="Q12" s="6">
        <v>5</v>
      </c>
      <c r="R12" s="6">
        <v>5529</v>
      </c>
      <c r="S12" s="6">
        <v>650</v>
      </c>
      <c r="T12" s="10"/>
      <c r="U12" s="10"/>
      <c r="V12" s="10"/>
      <c r="W12" s="10"/>
      <c r="X12" s="10"/>
      <c r="Y12" s="10"/>
      <c r="Z12" s="3"/>
      <c r="AA12" s="3"/>
      <c r="AB12" s="14">
        <v>74.62</v>
      </c>
      <c r="AC12" s="16">
        <v>5403</v>
      </c>
      <c r="AD12" s="16"/>
      <c r="AE12" s="16"/>
      <c r="AF12" s="15">
        <v>1222.8</v>
      </c>
      <c r="AG12" s="19">
        <v>305.7</v>
      </c>
      <c r="AH12" s="7">
        <v>611.4</v>
      </c>
      <c r="AI12" s="7"/>
      <c r="AJ12" s="20">
        <v>2517</v>
      </c>
      <c r="AK12" s="7">
        <v>52.31</v>
      </c>
    </row>
    <row r="13" spans="1:37">
      <c r="A13" s="2">
        <v>12</v>
      </c>
      <c r="B13" s="22" t="s">
        <v>78</v>
      </c>
      <c r="C13" s="3" t="s">
        <v>79</v>
      </c>
      <c r="D13" s="22" t="s">
        <v>80</v>
      </c>
      <c r="E13" s="3"/>
      <c r="F13" s="3" t="s">
        <v>69</v>
      </c>
      <c r="G13" s="3" t="s">
        <v>50</v>
      </c>
      <c r="H13" s="3" t="s">
        <v>42</v>
      </c>
      <c r="I13" s="3" t="s">
        <v>42</v>
      </c>
      <c r="J13" s="6">
        <v>21899</v>
      </c>
      <c r="K13" s="7">
        <f t="shared" si="0"/>
        <v>17050.13</v>
      </c>
      <c r="L13" s="7">
        <f t="shared" si="1"/>
        <v>4814.25</v>
      </c>
      <c r="M13" s="6">
        <v>1780</v>
      </c>
      <c r="N13" s="6">
        <v>3198</v>
      </c>
      <c r="O13" s="6">
        <v>5050</v>
      </c>
      <c r="P13" s="6">
        <v>116</v>
      </c>
      <c r="Q13" s="3"/>
      <c r="R13" s="6">
        <v>5529</v>
      </c>
      <c r="S13" s="6">
        <v>650</v>
      </c>
      <c r="T13" s="10"/>
      <c r="U13" s="10"/>
      <c r="V13" s="10"/>
      <c r="W13" s="10"/>
      <c r="X13" s="10"/>
      <c r="Y13" s="10"/>
      <c r="Z13" s="3"/>
      <c r="AA13" s="3"/>
      <c r="AB13" s="14">
        <v>34.62</v>
      </c>
      <c r="AC13" s="16">
        <v>5576</v>
      </c>
      <c r="AD13" s="16"/>
      <c r="AE13" s="16"/>
      <c r="AF13" s="15">
        <v>1234.32</v>
      </c>
      <c r="AG13" s="19">
        <v>308.58</v>
      </c>
      <c r="AH13" s="7">
        <v>617.16</v>
      </c>
      <c r="AI13" s="7"/>
      <c r="AJ13" s="20">
        <v>2494</v>
      </c>
      <c r="AK13" s="7">
        <v>160.19</v>
      </c>
    </row>
    <row r="14" spans="1:37">
      <c r="A14" s="2">
        <v>13</v>
      </c>
      <c r="B14" s="22" t="s">
        <v>54</v>
      </c>
      <c r="C14" s="3" t="s">
        <v>81</v>
      </c>
      <c r="D14" s="22" t="s">
        <v>82</v>
      </c>
      <c r="E14" s="3"/>
      <c r="F14" s="3" t="s">
        <v>69</v>
      </c>
      <c r="G14" s="3" t="s">
        <v>50</v>
      </c>
      <c r="H14" s="3" t="s">
        <v>42</v>
      </c>
      <c r="I14" s="3" t="s">
        <v>42</v>
      </c>
      <c r="J14" s="6">
        <v>22416</v>
      </c>
      <c r="K14" s="7">
        <f t="shared" si="0"/>
        <v>17541.51</v>
      </c>
      <c r="L14" s="7">
        <f t="shared" si="1"/>
        <v>4876.63</v>
      </c>
      <c r="M14" s="6">
        <v>1780</v>
      </c>
      <c r="N14" s="6">
        <v>3439</v>
      </c>
      <c r="O14" s="6">
        <v>5050</v>
      </c>
      <c r="P14" s="6">
        <v>116</v>
      </c>
      <c r="Q14" s="6">
        <v>5</v>
      </c>
      <c r="R14" s="6">
        <v>5529</v>
      </c>
      <c r="S14" s="6">
        <v>650</v>
      </c>
      <c r="T14" s="10"/>
      <c r="U14" s="10"/>
      <c r="V14" s="10"/>
      <c r="W14" s="10"/>
      <c r="X14" s="10"/>
      <c r="Y14" s="10"/>
      <c r="Z14" s="3"/>
      <c r="AA14" s="3"/>
      <c r="AB14" s="14">
        <v>-2.14</v>
      </c>
      <c r="AC14" s="16">
        <v>5847</v>
      </c>
      <c r="AD14" s="16"/>
      <c r="AE14" s="16"/>
      <c r="AF14" s="15">
        <v>1252.56</v>
      </c>
      <c r="AG14" s="19">
        <v>313.14</v>
      </c>
      <c r="AH14" s="7">
        <v>626.28</v>
      </c>
      <c r="AI14" s="7"/>
      <c r="AJ14" s="20">
        <v>2521</v>
      </c>
      <c r="AK14" s="7">
        <v>163.65</v>
      </c>
    </row>
    <row r="15" spans="1:37">
      <c r="A15" s="2">
        <v>14</v>
      </c>
      <c r="B15" s="22" t="s">
        <v>83</v>
      </c>
      <c r="C15" s="3" t="s">
        <v>84</v>
      </c>
      <c r="D15" s="22" t="s">
        <v>85</v>
      </c>
      <c r="E15" s="3"/>
      <c r="F15" s="3" t="s">
        <v>69</v>
      </c>
      <c r="G15" s="3" t="s">
        <v>50</v>
      </c>
      <c r="H15" s="3" t="s">
        <v>42</v>
      </c>
      <c r="I15" s="3" t="s">
        <v>42</v>
      </c>
      <c r="J15" s="6">
        <v>20806</v>
      </c>
      <c r="K15" s="7">
        <f t="shared" si="0"/>
        <v>16141.44</v>
      </c>
      <c r="L15" s="7">
        <f t="shared" si="1"/>
        <v>4590.34</v>
      </c>
      <c r="M15" s="6">
        <v>1780</v>
      </c>
      <c r="N15" s="6">
        <v>2685</v>
      </c>
      <c r="O15" s="6">
        <v>5050</v>
      </c>
      <c r="P15" s="6">
        <v>116</v>
      </c>
      <c r="Q15" s="3"/>
      <c r="R15" s="6">
        <v>5529</v>
      </c>
      <c r="S15" s="6">
        <v>650</v>
      </c>
      <c r="T15" s="10"/>
      <c r="U15" s="10"/>
      <c r="V15" s="10"/>
      <c r="W15" s="10"/>
      <c r="X15" s="10"/>
      <c r="Y15" s="10"/>
      <c r="Z15" s="3"/>
      <c r="AA15" s="3"/>
      <c r="AB15" s="14">
        <v>74.22</v>
      </c>
      <c r="AC15" s="16">
        <v>4996</v>
      </c>
      <c r="AD15" s="16"/>
      <c r="AE15" s="16"/>
      <c r="AF15" s="15">
        <v>1195.76</v>
      </c>
      <c r="AG15" s="19">
        <v>298.94</v>
      </c>
      <c r="AH15" s="7">
        <v>597.88</v>
      </c>
      <c r="AI15" s="7"/>
      <c r="AJ15" s="20">
        <v>2436</v>
      </c>
      <c r="AK15" s="7">
        <v>61.76</v>
      </c>
    </row>
    <row r="16" spans="1:37">
      <c r="A16" s="2">
        <v>15</v>
      </c>
      <c r="B16" s="22" t="s">
        <v>86</v>
      </c>
      <c r="C16" s="3" t="s">
        <v>87</v>
      </c>
      <c r="D16" s="22" t="s">
        <v>88</v>
      </c>
      <c r="E16" s="3"/>
      <c r="F16" s="3" t="s">
        <v>69</v>
      </c>
      <c r="G16" s="3" t="s">
        <v>50</v>
      </c>
      <c r="H16" s="3" t="s">
        <v>42</v>
      </c>
      <c r="I16" s="3" t="s">
        <v>42</v>
      </c>
      <c r="J16" s="6">
        <v>20806</v>
      </c>
      <c r="K16" s="7">
        <f t="shared" si="0"/>
        <v>16268.7</v>
      </c>
      <c r="L16" s="7">
        <f t="shared" si="1"/>
        <v>4547.08</v>
      </c>
      <c r="M16" s="6">
        <v>1780</v>
      </c>
      <c r="N16" s="6">
        <v>2685</v>
      </c>
      <c r="O16" s="6">
        <v>5050</v>
      </c>
      <c r="P16" s="6">
        <v>116</v>
      </c>
      <c r="Q16" s="3"/>
      <c r="R16" s="6">
        <v>5529</v>
      </c>
      <c r="S16" s="6">
        <v>650</v>
      </c>
      <c r="T16" s="10"/>
      <c r="U16" s="10"/>
      <c r="V16" s="10"/>
      <c r="W16" s="10"/>
      <c r="X16" s="10"/>
      <c r="Y16" s="10"/>
      <c r="Z16" s="3"/>
      <c r="AA16" s="3"/>
      <c r="AB16" s="14">
        <v>-9.78</v>
      </c>
      <c r="AC16" s="16">
        <v>4996</v>
      </c>
      <c r="AD16" s="16"/>
      <c r="AE16" s="16"/>
      <c r="AF16" s="15">
        <v>1195.76</v>
      </c>
      <c r="AG16" s="19">
        <v>298.94</v>
      </c>
      <c r="AH16" s="7">
        <v>597.88</v>
      </c>
      <c r="AI16" s="7"/>
      <c r="AJ16" s="20">
        <v>2394</v>
      </c>
      <c r="AK16" s="7">
        <v>60.5</v>
      </c>
    </row>
    <row r="17" spans="1:37">
      <c r="A17" s="2">
        <v>16</v>
      </c>
      <c r="B17" s="22" t="s">
        <v>89</v>
      </c>
      <c r="C17" s="3" t="s">
        <v>90</v>
      </c>
      <c r="D17" s="22" t="s">
        <v>91</v>
      </c>
      <c r="E17" s="3"/>
      <c r="F17" s="3" t="s">
        <v>69</v>
      </c>
      <c r="G17" s="3" t="s">
        <v>72</v>
      </c>
      <c r="H17" s="3" t="s">
        <v>42</v>
      </c>
      <c r="I17" s="3" t="s">
        <v>42</v>
      </c>
      <c r="J17" s="6">
        <v>23789</v>
      </c>
      <c r="K17" s="7">
        <f t="shared" si="0"/>
        <v>18337.16</v>
      </c>
      <c r="L17" s="7">
        <f t="shared" si="1"/>
        <v>5396.88</v>
      </c>
      <c r="M17" s="6">
        <v>2160</v>
      </c>
      <c r="N17" s="6">
        <v>2947</v>
      </c>
      <c r="O17" s="6">
        <v>5960</v>
      </c>
      <c r="P17" s="6">
        <v>116</v>
      </c>
      <c r="Q17" s="3"/>
      <c r="R17" s="6">
        <v>5864</v>
      </c>
      <c r="S17" s="6">
        <v>1040</v>
      </c>
      <c r="T17" s="10"/>
      <c r="U17" s="10"/>
      <c r="V17" s="10"/>
      <c r="W17" s="10"/>
      <c r="X17" s="10"/>
      <c r="Y17" s="10"/>
      <c r="Z17" s="3"/>
      <c r="AA17" s="3"/>
      <c r="AB17" s="14">
        <v>54.96</v>
      </c>
      <c r="AC17" s="16">
        <v>5702</v>
      </c>
      <c r="AD17" s="16"/>
      <c r="AE17" s="16"/>
      <c r="AF17" s="15">
        <v>1345.04</v>
      </c>
      <c r="AG17" s="19">
        <v>336.26</v>
      </c>
      <c r="AH17" s="7">
        <v>672.52</v>
      </c>
      <c r="AI17" s="7"/>
      <c r="AJ17" s="20">
        <v>2935</v>
      </c>
      <c r="AK17" s="7">
        <v>108.06</v>
      </c>
    </row>
    <row r="18" spans="1:37">
      <c r="A18" s="2">
        <v>17</v>
      </c>
      <c r="B18" s="22" t="s">
        <v>62</v>
      </c>
      <c r="C18" s="3" t="s">
        <v>92</v>
      </c>
      <c r="D18" s="22" t="s">
        <v>93</v>
      </c>
      <c r="E18" s="3"/>
      <c r="F18" s="3" t="s">
        <v>69</v>
      </c>
      <c r="G18" s="3" t="s">
        <v>72</v>
      </c>
      <c r="H18" s="3" t="s">
        <v>42</v>
      </c>
      <c r="I18" s="3" t="s">
        <v>42</v>
      </c>
      <c r="J18" s="6">
        <v>23351</v>
      </c>
      <c r="K18" s="7">
        <f t="shared" si="0"/>
        <v>17708.49</v>
      </c>
      <c r="L18" s="7">
        <f t="shared" si="1"/>
        <v>5206.61</v>
      </c>
      <c r="M18" s="6">
        <v>2160</v>
      </c>
      <c r="N18" s="6">
        <v>2739</v>
      </c>
      <c r="O18" s="6">
        <v>5960</v>
      </c>
      <c r="P18" s="6">
        <v>116</v>
      </c>
      <c r="Q18" s="6">
        <v>5</v>
      </c>
      <c r="R18" s="6">
        <v>5864</v>
      </c>
      <c r="S18" s="6">
        <v>1040</v>
      </c>
      <c r="T18" s="10"/>
      <c r="U18" s="10"/>
      <c r="V18" s="10"/>
      <c r="W18" s="10"/>
      <c r="X18" s="10"/>
      <c r="Y18" s="10"/>
      <c r="Z18" s="3"/>
      <c r="AA18" s="3"/>
      <c r="AB18" s="14">
        <v>435.9</v>
      </c>
      <c r="AC18" s="16">
        <v>5467</v>
      </c>
      <c r="AD18" s="16"/>
      <c r="AE18" s="16"/>
      <c r="AF18" s="15">
        <v>1329.68</v>
      </c>
      <c r="AG18" s="19">
        <v>332.42</v>
      </c>
      <c r="AH18" s="7">
        <v>664.84</v>
      </c>
      <c r="AI18" s="7"/>
      <c r="AJ18" s="20">
        <v>2775</v>
      </c>
      <c r="AK18" s="7">
        <v>104.67</v>
      </c>
    </row>
    <row r="19" spans="1:37">
      <c r="A19" s="2">
        <v>18</v>
      </c>
      <c r="B19" s="22" t="s">
        <v>94</v>
      </c>
      <c r="C19" s="3" t="s">
        <v>95</v>
      </c>
      <c r="D19" s="22" t="s">
        <v>96</v>
      </c>
      <c r="E19" s="3"/>
      <c r="F19" s="3" t="s">
        <v>69</v>
      </c>
      <c r="G19" s="3" t="s">
        <v>50</v>
      </c>
      <c r="H19" s="3" t="s">
        <v>42</v>
      </c>
      <c r="I19" s="3" t="s">
        <v>42</v>
      </c>
      <c r="J19" s="6">
        <v>20108</v>
      </c>
      <c r="K19" s="7">
        <f t="shared" si="0"/>
        <v>15530.12</v>
      </c>
      <c r="L19" s="7">
        <f t="shared" si="1"/>
        <v>4451</v>
      </c>
      <c r="M19" s="6">
        <v>1780</v>
      </c>
      <c r="N19" s="6">
        <v>2358</v>
      </c>
      <c r="O19" s="6">
        <v>5050</v>
      </c>
      <c r="P19" s="6">
        <v>116</v>
      </c>
      <c r="Q19" s="3"/>
      <c r="R19" s="6">
        <v>5529</v>
      </c>
      <c r="S19" s="6">
        <v>650</v>
      </c>
      <c r="T19" s="10"/>
      <c r="U19" s="10"/>
      <c r="V19" s="10"/>
      <c r="W19" s="10"/>
      <c r="X19" s="10"/>
      <c r="Y19" s="10"/>
      <c r="Z19" s="3"/>
      <c r="AA19" s="3"/>
      <c r="AB19" s="14">
        <v>126.88</v>
      </c>
      <c r="AC19" s="16">
        <v>4625</v>
      </c>
      <c r="AD19" s="16"/>
      <c r="AE19" s="16"/>
      <c r="AF19" s="15">
        <v>1172</v>
      </c>
      <c r="AG19" s="19">
        <v>293</v>
      </c>
      <c r="AH19" s="7">
        <v>586</v>
      </c>
      <c r="AI19" s="7"/>
      <c r="AJ19" s="20">
        <v>2400</v>
      </c>
      <c r="AK19" s="7">
        <v>0</v>
      </c>
    </row>
    <row r="20" spans="1:37">
      <c r="A20" s="2">
        <v>19</v>
      </c>
      <c r="B20" s="22" t="s">
        <v>97</v>
      </c>
      <c r="C20" s="3" t="s">
        <v>98</v>
      </c>
      <c r="D20" s="22" t="s">
        <v>99</v>
      </c>
      <c r="E20" s="3"/>
      <c r="F20" s="3" t="s">
        <v>69</v>
      </c>
      <c r="G20" s="3" t="s">
        <v>50</v>
      </c>
      <c r="H20" s="3" t="s">
        <v>42</v>
      </c>
      <c r="I20" s="3" t="s">
        <v>42</v>
      </c>
      <c r="J20" s="6">
        <v>19828</v>
      </c>
      <c r="K20" s="7">
        <f t="shared" si="0"/>
        <v>15227.01</v>
      </c>
      <c r="L20" s="7">
        <f t="shared" si="1"/>
        <v>4522.45</v>
      </c>
      <c r="M20" s="6">
        <v>1780</v>
      </c>
      <c r="N20" s="6">
        <v>2227</v>
      </c>
      <c r="O20" s="6">
        <v>5050</v>
      </c>
      <c r="P20" s="6">
        <v>116</v>
      </c>
      <c r="Q20" s="3"/>
      <c r="R20" s="6">
        <v>5529</v>
      </c>
      <c r="S20" s="6">
        <v>650</v>
      </c>
      <c r="T20" s="10"/>
      <c r="U20" s="10"/>
      <c r="V20" s="10"/>
      <c r="W20" s="10"/>
      <c r="X20" s="10"/>
      <c r="Y20" s="10"/>
      <c r="Z20" s="3"/>
      <c r="AA20" s="3"/>
      <c r="AB20" s="14">
        <v>78.54</v>
      </c>
      <c r="AC20" s="16">
        <v>4476</v>
      </c>
      <c r="AD20" s="16"/>
      <c r="AE20" s="16"/>
      <c r="AF20" s="15">
        <v>1162.24</v>
      </c>
      <c r="AG20" s="19">
        <v>290.56</v>
      </c>
      <c r="AH20" s="7">
        <v>581.12</v>
      </c>
      <c r="AI20" s="7"/>
      <c r="AJ20" s="20">
        <v>2344</v>
      </c>
      <c r="AK20" s="7">
        <v>144.53</v>
      </c>
    </row>
    <row r="21" spans="1:37">
      <c r="A21" s="2">
        <v>20</v>
      </c>
      <c r="B21" s="22" t="s">
        <v>100</v>
      </c>
      <c r="C21" s="3" t="s">
        <v>101</v>
      </c>
      <c r="D21" s="22" t="s">
        <v>102</v>
      </c>
      <c r="E21" s="3"/>
      <c r="F21" s="3" t="s">
        <v>69</v>
      </c>
      <c r="G21" s="3" t="s">
        <v>103</v>
      </c>
      <c r="H21" s="3" t="s">
        <v>42</v>
      </c>
      <c r="I21" s="3" t="s">
        <v>42</v>
      </c>
      <c r="J21" s="6">
        <v>18470</v>
      </c>
      <c r="K21" s="7">
        <f t="shared" si="0"/>
        <v>13871.39</v>
      </c>
      <c r="L21" s="7">
        <f t="shared" si="1"/>
        <v>4359.89</v>
      </c>
      <c r="M21" s="6">
        <v>1570</v>
      </c>
      <c r="N21" s="6">
        <v>1945</v>
      </c>
      <c r="O21" s="6">
        <v>4700</v>
      </c>
      <c r="P21" s="6">
        <v>116</v>
      </c>
      <c r="Q21" s="3"/>
      <c r="R21" s="6">
        <v>5444</v>
      </c>
      <c r="S21" s="6">
        <v>650</v>
      </c>
      <c r="T21" s="10"/>
      <c r="U21" s="10"/>
      <c r="V21" s="10"/>
      <c r="W21" s="10"/>
      <c r="X21" s="10"/>
      <c r="Y21" s="10"/>
      <c r="Z21" s="6">
        <v>130</v>
      </c>
      <c r="AA21" s="6"/>
      <c r="AB21" s="14">
        <v>238.72</v>
      </c>
      <c r="AC21" s="16">
        <v>3915</v>
      </c>
      <c r="AD21" s="16"/>
      <c r="AE21" s="16"/>
      <c r="AF21" s="15">
        <v>1090.8</v>
      </c>
      <c r="AG21" s="19">
        <v>272.7</v>
      </c>
      <c r="AH21" s="7">
        <v>545.4</v>
      </c>
      <c r="AI21" s="7"/>
      <c r="AJ21" s="20">
        <v>2319</v>
      </c>
      <c r="AK21" s="7">
        <v>131.99</v>
      </c>
    </row>
    <row r="22" spans="1:37">
      <c r="A22" s="2">
        <v>21</v>
      </c>
      <c r="B22" s="22" t="s">
        <v>104</v>
      </c>
      <c r="C22" s="3" t="s">
        <v>105</v>
      </c>
      <c r="D22" s="22" t="s">
        <v>106</v>
      </c>
      <c r="E22" s="3"/>
      <c r="F22" s="3" t="s">
        <v>49</v>
      </c>
      <c r="G22" s="3" t="s">
        <v>72</v>
      </c>
      <c r="H22" s="3" t="s">
        <v>42</v>
      </c>
      <c r="I22" s="3" t="s">
        <v>42</v>
      </c>
      <c r="J22" s="6">
        <v>23998</v>
      </c>
      <c r="K22" s="7">
        <f t="shared" si="0"/>
        <v>18684.88</v>
      </c>
      <c r="L22" s="7">
        <f t="shared" si="1"/>
        <v>5313.5</v>
      </c>
      <c r="M22" s="6">
        <v>2160</v>
      </c>
      <c r="N22" s="6">
        <v>3045</v>
      </c>
      <c r="O22" s="6">
        <v>5960</v>
      </c>
      <c r="P22" s="6">
        <v>116</v>
      </c>
      <c r="Q22" s="3"/>
      <c r="R22" s="6">
        <v>5864</v>
      </c>
      <c r="S22" s="6">
        <v>1040</v>
      </c>
      <c r="T22" s="10"/>
      <c r="U22" s="10"/>
      <c r="V22" s="10"/>
      <c r="W22" s="10"/>
      <c r="X22" s="10"/>
      <c r="Y22" s="10"/>
      <c r="Z22" s="3"/>
      <c r="AA22" s="3"/>
      <c r="AB22" s="14">
        <v>-0.38</v>
      </c>
      <c r="AC22" s="16">
        <v>5813</v>
      </c>
      <c r="AD22" s="16"/>
      <c r="AE22" s="16"/>
      <c r="AF22" s="15">
        <v>1352.72</v>
      </c>
      <c r="AG22" s="19">
        <v>338.18</v>
      </c>
      <c r="AH22" s="7">
        <v>676.36</v>
      </c>
      <c r="AI22" s="7"/>
      <c r="AJ22" s="20">
        <v>2912</v>
      </c>
      <c r="AK22" s="7">
        <v>34.24</v>
      </c>
    </row>
    <row r="23" spans="1:37">
      <c r="A23" s="2">
        <v>22</v>
      </c>
      <c r="B23" s="22" t="s">
        <v>107</v>
      </c>
      <c r="C23" s="3" t="s">
        <v>108</v>
      </c>
      <c r="D23" s="22" t="s">
        <v>109</v>
      </c>
      <c r="E23" s="3"/>
      <c r="F23" s="3" t="s">
        <v>69</v>
      </c>
      <c r="G23" s="3" t="s">
        <v>41</v>
      </c>
      <c r="H23" s="3" t="s">
        <v>42</v>
      </c>
      <c r="I23" s="3" t="s">
        <v>42</v>
      </c>
      <c r="J23" s="6">
        <v>29337</v>
      </c>
      <c r="K23" s="7">
        <f t="shared" si="0"/>
        <v>22625.76</v>
      </c>
      <c r="L23" s="7">
        <f t="shared" si="1"/>
        <v>6481.04</v>
      </c>
      <c r="M23" s="6">
        <v>2770</v>
      </c>
      <c r="N23" s="6">
        <v>3401</v>
      </c>
      <c r="O23" s="6">
        <v>7180</v>
      </c>
      <c r="P23" s="6">
        <v>116</v>
      </c>
      <c r="Q23" s="6">
        <v>5</v>
      </c>
      <c r="R23" s="6">
        <v>7951</v>
      </c>
      <c r="S23" s="6">
        <v>1040</v>
      </c>
      <c r="T23" s="10"/>
      <c r="U23" s="10"/>
      <c r="V23" s="10"/>
      <c r="W23" s="10"/>
      <c r="X23" s="10"/>
      <c r="Y23" s="10"/>
      <c r="Z23" s="3"/>
      <c r="AA23" s="3"/>
      <c r="AB23" s="14">
        <v>230.2</v>
      </c>
      <c r="AC23" s="16">
        <v>6874</v>
      </c>
      <c r="AD23" s="16"/>
      <c r="AE23" s="16"/>
      <c r="AF23" s="15">
        <v>1618.24</v>
      </c>
      <c r="AG23" s="19">
        <v>404.56</v>
      </c>
      <c r="AH23" s="7">
        <v>809.12</v>
      </c>
      <c r="AI23" s="7"/>
      <c r="AJ23" s="20">
        <v>3360</v>
      </c>
      <c r="AK23" s="7">
        <v>289.12</v>
      </c>
    </row>
    <row r="24" spans="1:37">
      <c r="A24" s="2">
        <v>23</v>
      </c>
      <c r="B24" s="22" t="s">
        <v>110</v>
      </c>
      <c r="C24" s="3" t="s">
        <v>111</v>
      </c>
      <c r="D24" s="22" t="s">
        <v>112</v>
      </c>
      <c r="E24" s="3"/>
      <c r="F24" s="3" t="s">
        <v>69</v>
      </c>
      <c r="G24" s="3" t="s">
        <v>113</v>
      </c>
      <c r="H24" s="3" t="s">
        <v>42</v>
      </c>
      <c r="I24" s="3" t="s">
        <v>42</v>
      </c>
      <c r="J24" s="6">
        <v>17447</v>
      </c>
      <c r="K24" s="7">
        <f t="shared" si="0"/>
        <v>13233.98</v>
      </c>
      <c r="L24" s="7">
        <f t="shared" si="1"/>
        <v>4088.14</v>
      </c>
      <c r="M24" s="6">
        <v>1410</v>
      </c>
      <c r="N24" s="6">
        <v>1806</v>
      </c>
      <c r="O24" s="6">
        <v>4450</v>
      </c>
      <c r="P24" s="6">
        <v>116</v>
      </c>
      <c r="Q24" s="3"/>
      <c r="R24" s="6">
        <v>5438</v>
      </c>
      <c r="S24" s="6">
        <v>650</v>
      </c>
      <c r="T24" s="10"/>
      <c r="U24" s="10"/>
      <c r="V24" s="10"/>
      <c r="W24" s="10"/>
      <c r="X24" s="10"/>
      <c r="Y24" s="10"/>
      <c r="Z24" s="3"/>
      <c r="AA24" s="3"/>
      <c r="AB24" s="14">
        <v>124.88</v>
      </c>
      <c r="AC24" s="16">
        <v>3577</v>
      </c>
      <c r="AD24" s="16"/>
      <c r="AE24" s="16"/>
      <c r="AF24" s="15">
        <v>1037.28</v>
      </c>
      <c r="AG24" s="19">
        <v>259.32</v>
      </c>
      <c r="AH24" s="7">
        <v>518.64</v>
      </c>
      <c r="AI24" s="7"/>
      <c r="AJ24" s="20">
        <v>2156</v>
      </c>
      <c r="AK24" s="7">
        <v>116.9</v>
      </c>
    </row>
    <row r="25" spans="1:37">
      <c r="A25" s="2">
        <v>24</v>
      </c>
      <c r="B25" s="22" t="s">
        <v>114</v>
      </c>
      <c r="C25" s="3" t="s">
        <v>115</v>
      </c>
      <c r="D25" s="22" t="s">
        <v>116</v>
      </c>
      <c r="E25" s="3"/>
      <c r="F25" s="3" t="s">
        <v>49</v>
      </c>
      <c r="G25" s="3" t="s">
        <v>117</v>
      </c>
      <c r="H25" s="3" t="s">
        <v>42</v>
      </c>
      <c r="I25" s="3" t="s">
        <v>42</v>
      </c>
      <c r="J25" s="6">
        <v>18310</v>
      </c>
      <c r="K25" s="7">
        <f t="shared" si="0"/>
        <v>14543.14</v>
      </c>
      <c r="L25" s="7">
        <f t="shared" si="1"/>
        <v>3158.9</v>
      </c>
      <c r="M25" s="6">
        <v>1270</v>
      </c>
      <c r="N25" s="6">
        <v>1676</v>
      </c>
      <c r="O25" s="6">
        <v>4400</v>
      </c>
      <c r="P25" s="6">
        <v>116</v>
      </c>
      <c r="Q25" s="3"/>
      <c r="R25" s="6">
        <v>5431</v>
      </c>
      <c r="S25" s="6">
        <v>650</v>
      </c>
      <c r="T25" s="10"/>
      <c r="U25" s="10"/>
      <c r="V25" s="10"/>
      <c r="W25" s="10"/>
      <c r="X25" s="10"/>
      <c r="Y25" s="10"/>
      <c r="Z25" s="3"/>
      <c r="AA25" s="6">
        <v>750</v>
      </c>
      <c r="AB25" s="14">
        <v>607.96</v>
      </c>
      <c r="AC25" s="16">
        <f>750+3267</f>
        <v>4017</v>
      </c>
      <c r="AD25" s="16"/>
      <c r="AE25" s="16"/>
      <c r="AF25" s="17">
        <v>876.64</v>
      </c>
      <c r="AG25" s="19">
        <v>219.16</v>
      </c>
      <c r="AH25" s="7">
        <v>438.32</v>
      </c>
      <c r="AI25" s="7"/>
      <c r="AJ25" s="20">
        <v>1504</v>
      </c>
      <c r="AK25" s="7">
        <v>120.78</v>
      </c>
    </row>
    <row r="26" ht="15" spans="1:37">
      <c r="A26" s="2">
        <v>25</v>
      </c>
      <c r="B26" s="3" t="s">
        <v>66</v>
      </c>
      <c r="C26" s="3" t="s">
        <v>118</v>
      </c>
      <c r="D26" s="23" t="s">
        <v>119</v>
      </c>
      <c r="E26" s="3"/>
      <c r="F26" s="3" t="s">
        <v>120</v>
      </c>
      <c r="G26" s="3" t="s">
        <v>121</v>
      </c>
      <c r="H26" s="3" t="s">
        <v>42</v>
      </c>
      <c r="I26" s="3" t="s">
        <v>42</v>
      </c>
      <c r="J26" s="6">
        <v>17023</v>
      </c>
      <c r="K26" s="7">
        <f t="shared" si="0"/>
        <v>12915.1</v>
      </c>
      <c r="L26" s="7">
        <f t="shared" si="1"/>
        <v>4172.25</v>
      </c>
      <c r="M26" s="6"/>
      <c r="N26" s="6"/>
      <c r="O26" s="6"/>
      <c r="P26" s="9">
        <v>116</v>
      </c>
      <c r="Q26" s="9">
        <v>5</v>
      </c>
      <c r="R26" s="6"/>
      <c r="S26" s="6"/>
      <c r="T26" s="9">
        <v>1940</v>
      </c>
      <c r="U26" s="4">
        <v>1383</v>
      </c>
      <c r="V26" s="9"/>
      <c r="W26" s="9">
        <v>3114</v>
      </c>
      <c r="X26" s="11">
        <v>2337</v>
      </c>
      <c r="Y26" s="6"/>
      <c r="Z26" s="6"/>
      <c r="AA26" s="6"/>
      <c r="AB26" s="14">
        <v>-64.35</v>
      </c>
      <c r="AC26" s="9">
        <v>3678</v>
      </c>
      <c r="AD26" s="16"/>
      <c r="AE26" s="16"/>
      <c r="AF26" s="15">
        <v>1058.16</v>
      </c>
      <c r="AG26" s="19">
        <v>264.54</v>
      </c>
      <c r="AH26" s="7">
        <v>529.08</v>
      </c>
      <c r="AI26" s="7">
        <v>52.91</v>
      </c>
      <c r="AJ26" s="20">
        <v>2248</v>
      </c>
      <c r="AK26" s="7">
        <v>19.56</v>
      </c>
    </row>
    <row r="27" ht="15" spans="1:37">
      <c r="A27" s="2">
        <v>26</v>
      </c>
      <c r="B27" s="3" t="s">
        <v>37</v>
      </c>
      <c r="C27" s="3" t="s">
        <v>122</v>
      </c>
      <c r="D27" s="23" t="s">
        <v>123</v>
      </c>
      <c r="E27" s="3"/>
      <c r="F27" s="3" t="s">
        <v>124</v>
      </c>
      <c r="G27" s="3" t="s">
        <v>125</v>
      </c>
      <c r="H27" s="3" t="s">
        <v>42</v>
      </c>
      <c r="I27" s="3" t="s">
        <v>42</v>
      </c>
      <c r="J27" s="6">
        <v>21432</v>
      </c>
      <c r="K27" s="7">
        <f t="shared" si="0"/>
        <v>15678.5</v>
      </c>
      <c r="L27" s="7">
        <f t="shared" si="1"/>
        <v>5340.84</v>
      </c>
      <c r="M27" s="6"/>
      <c r="N27" s="6"/>
      <c r="O27" s="6"/>
      <c r="P27" s="4">
        <v>116</v>
      </c>
      <c r="Q27" s="9"/>
      <c r="R27" s="6"/>
      <c r="S27" s="6"/>
      <c r="T27" s="9">
        <v>2880</v>
      </c>
      <c r="U27" s="4">
        <v>1603</v>
      </c>
      <c r="V27" s="9"/>
      <c r="W27" s="9">
        <v>3309</v>
      </c>
      <c r="X27" s="11">
        <v>2555</v>
      </c>
      <c r="Y27" s="3"/>
      <c r="Z27" s="6"/>
      <c r="AA27" s="6"/>
      <c r="AB27" s="14">
        <v>412.66</v>
      </c>
      <c r="AC27" s="9">
        <v>5009</v>
      </c>
      <c r="AD27" s="16"/>
      <c r="AE27" s="16"/>
      <c r="AF27" s="15">
        <v>1297.68</v>
      </c>
      <c r="AG27" s="19">
        <v>324.42</v>
      </c>
      <c r="AH27" s="7">
        <v>648.84</v>
      </c>
      <c r="AI27" s="7">
        <v>64.88</v>
      </c>
      <c r="AJ27" s="20">
        <v>2824</v>
      </c>
      <c r="AK27" s="7">
        <v>181.02</v>
      </c>
    </row>
    <row r="28" ht="15" spans="1:37">
      <c r="A28" s="2">
        <v>27</v>
      </c>
      <c r="B28" s="3" t="s">
        <v>54</v>
      </c>
      <c r="C28" s="3" t="s">
        <v>126</v>
      </c>
      <c r="D28" s="23" t="s">
        <v>127</v>
      </c>
      <c r="E28" s="3"/>
      <c r="F28" s="3" t="s">
        <v>124</v>
      </c>
      <c r="G28" s="3" t="s">
        <v>128</v>
      </c>
      <c r="H28" s="3" t="s">
        <v>42</v>
      </c>
      <c r="I28" s="3" t="s">
        <v>42</v>
      </c>
      <c r="J28" s="6">
        <v>19002</v>
      </c>
      <c r="K28" s="7">
        <f t="shared" si="0"/>
        <v>14306.35</v>
      </c>
      <c r="L28" s="7">
        <f t="shared" si="1"/>
        <v>4675.56</v>
      </c>
      <c r="M28" s="6"/>
      <c r="N28" s="6"/>
      <c r="O28" s="6"/>
      <c r="P28" s="4">
        <v>116</v>
      </c>
      <c r="Q28" s="9"/>
      <c r="R28" s="6"/>
      <c r="S28" s="6"/>
      <c r="T28" s="9">
        <v>2520</v>
      </c>
      <c r="U28" s="4">
        <v>1427</v>
      </c>
      <c r="V28" s="9"/>
      <c r="W28" s="9">
        <v>3124</v>
      </c>
      <c r="X28" s="11">
        <v>2320</v>
      </c>
      <c r="Y28" s="3"/>
      <c r="Z28" s="6"/>
      <c r="AA28" s="6"/>
      <c r="AB28" s="14">
        <v>20.09</v>
      </c>
      <c r="AC28" s="9">
        <v>4445</v>
      </c>
      <c r="AD28" s="18"/>
      <c r="AE28" s="18"/>
      <c r="AF28" s="15">
        <v>1147.2</v>
      </c>
      <c r="AG28" s="19">
        <v>286.8</v>
      </c>
      <c r="AH28" s="7">
        <v>573.6</v>
      </c>
      <c r="AI28" s="7">
        <v>57.36</v>
      </c>
      <c r="AJ28" s="20">
        <v>2478</v>
      </c>
      <c r="AK28" s="7">
        <v>132.6</v>
      </c>
    </row>
    <row r="29" ht="15" spans="1:37">
      <c r="A29" s="2">
        <v>28</v>
      </c>
      <c r="B29" s="3" t="s">
        <v>129</v>
      </c>
      <c r="C29" s="3" t="s">
        <v>130</v>
      </c>
      <c r="D29" s="23" t="s">
        <v>131</v>
      </c>
      <c r="E29" s="3"/>
      <c r="F29" s="3" t="s">
        <v>124</v>
      </c>
      <c r="G29" s="3" t="s">
        <v>132</v>
      </c>
      <c r="H29" s="3" t="s">
        <v>42</v>
      </c>
      <c r="I29" s="3" t="s">
        <v>42</v>
      </c>
      <c r="J29" s="6">
        <v>25989</v>
      </c>
      <c r="K29" s="7">
        <f t="shared" si="0"/>
        <v>19643.37</v>
      </c>
      <c r="L29" s="7">
        <f t="shared" si="1"/>
        <v>6284.52</v>
      </c>
      <c r="M29" s="6"/>
      <c r="N29" s="6"/>
      <c r="O29" s="6"/>
      <c r="P29" s="9">
        <v>116</v>
      </c>
      <c r="Q29" s="9">
        <v>5</v>
      </c>
      <c r="R29" s="6"/>
      <c r="S29" s="6"/>
      <c r="T29" s="9">
        <v>3455</v>
      </c>
      <c r="U29" s="4">
        <v>2375</v>
      </c>
      <c r="V29" s="9"/>
      <c r="W29" s="9">
        <v>3742</v>
      </c>
      <c r="X29" s="11">
        <v>2876</v>
      </c>
      <c r="Y29" s="3"/>
      <c r="Z29" s="6"/>
      <c r="AA29" s="6"/>
      <c r="AB29" s="14">
        <v>61.11</v>
      </c>
      <c r="AC29" s="9">
        <v>6500</v>
      </c>
      <c r="AD29" s="18"/>
      <c r="AE29" s="18"/>
      <c r="AF29" s="15">
        <v>1538.96</v>
      </c>
      <c r="AG29" s="19">
        <v>384.74</v>
      </c>
      <c r="AH29" s="7">
        <v>769.48</v>
      </c>
      <c r="AI29" s="7">
        <v>76.95</v>
      </c>
      <c r="AJ29" s="20">
        <v>3376</v>
      </c>
      <c r="AK29" s="7">
        <v>138.39</v>
      </c>
    </row>
    <row r="30" ht="15" spans="1:37">
      <c r="A30" s="2">
        <v>29</v>
      </c>
      <c r="B30" s="3" t="s">
        <v>62</v>
      </c>
      <c r="C30" s="3" t="s">
        <v>133</v>
      </c>
      <c r="D30" s="23" t="s">
        <v>134</v>
      </c>
      <c r="E30" s="3"/>
      <c r="F30" s="3" t="s">
        <v>124</v>
      </c>
      <c r="G30" s="3" t="s">
        <v>135</v>
      </c>
      <c r="H30" s="3" t="s">
        <v>42</v>
      </c>
      <c r="I30" s="3" t="s">
        <v>42</v>
      </c>
      <c r="J30" s="6">
        <v>16617</v>
      </c>
      <c r="K30" s="7">
        <f t="shared" si="0"/>
        <v>12163.45</v>
      </c>
      <c r="L30" s="7">
        <f t="shared" si="1"/>
        <v>4235.17</v>
      </c>
      <c r="M30" s="6"/>
      <c r="N30" s="6"/>
      <c r="O30" s="6"/>
      <c r="P30" s="4">
        <v>116</v>
      </c>
      <c r="Q30" s="9"/>
      <c r="R30" s="6"/>
      <c r="S30" s="6"/>
      <c r="T30" s="9">
        <v>2200</v>
      </c>
      <c r="U30" s="4">
        <v>934</v>
      </c>
      <c r="V30" s="9"/>
      <c r="W30" s="9">
        <v>3099</v>
      </c>
      <c r="X30" s="11">
        <v>2332</v>
      </c>
      <c r="Y30" s="3"/>
      <c r="Z30" s="6"/>
      <c r="AA30" s="6"/>
      <c r="AB30" s="14">
        <v>218.38</v>
      </c>
      <c r="AC30" s="9">
        <v>3486</v>
      </c>
      <c r="AD30" s="18"/>
      <c r="AE30" s="18"/>
      <c r="AF30" s="15">
        <v>1038.48</v>
      </c>
      <c r="AG30" s="19">
        <v>259.62</v>
      </c>
      <c r="AH30" s="7">
        <v>519.24</v>
      </c>
      <c r="AI30" s="7">
        <v>51.92</v>
      </c>
      <c r="AJ30" s="20">
        <v>2315</v>
      </c>
      <c r="AK30" s="7">
        <v>50.91</v>
      </c>
    </row>
    <row r="31" ht="15" spans="1:37">
      <c r="A31" s="2">
        <v>30</v>
      </c>
      <c r="B31" s="3" t="s">
        <v>136</v>
      </c>
      <c r="C31" s="3" t="s">
        <v>137</v>
      </c>
      <c r="D31" s="23" t="s">
        <v>138</v>
      </c>
      <c r="E31" s="3"/>
      <c r="F31" s="3" t="s">
        <v>124</v>
      </c>
      <c r="G31" s="3" t="s">
        <v>135</v>
      </c>
      <c r="H31" s="3" t="s">
        <v>42</v>
      </c>
      <c r="I31" s="3" t="s">
        <v>42</v>
      </c>
      <c r="J31" s="6">
        <v>16411</v>
      </c>
      <c r="K31" s="7">
        <f t="shared" si="0"/>
        <v>12520.59</v>
      </c>
      <c r="L31" s="7">
        <f t="shared" si="1"/>
        <v>3232.8</v>
      </c>
      <c r="M31" s="6"/>
      <c r="N31" s="6"/>
      <c r="O31" s="6"/>
      <c r="P31" s="4">
        <v>116</v>
      </c>
      <c r="Q31" s="9"/>
      <c r="R31" s="6"/>
      <c r="S31" s="6"/>
      <c r="T31" s="9">
        <v>2200</v>
      </c>
      <c r="U31" s="4">
        <v>863</v>
      </c>
      <c r="V31" s="9"/>
      <c r="W31" s="9">
        <v>3099</v>
      </c>
      <c r="X31" s="11">
        <v>2332</v>
      </c>
      <c r="Y31" s="3"/>
      <c r="Z31" s="6"/>
      <c r="AA31" s="6"/>
      <c r="AB31" s="14">
        <v>657.61</v>
      </c>
      <c r="AC31" s="9">
        <v>3401</v>
      </c>
      <c r="AD31" s="18"/>
      <c r="AE31" s="18"/>
      <c r="AF31" s="17">
        <v>880.64</v>
      </c>
      <c r="AG31" s="19">
        <v>220.16</v>
      </c>
      <c r="AH31" s="7">
        <v>440.32</v>
      </c>
      <c r="AI31" s="7">
        <v>44.03</v>
      </c>
      <c r="AJ31" s="21">
        <v>1540</v>
      </c>
      <c r="AK31" s="7">
        <v>107.65</v>
      </c>
    </row>
    <row r="32" ht="15" spans="1:37">
      <c r="A32" s="2">
        <v>31</v>
      </c>
      <c r="B32" s="3" t="s">
        <v>139</v>
      </c>
      <c r="C32" s="3" t="s">
        <v>140</v>
      </c>
      <c r="D32" s="23" t="s">
        <v>141</v>
      </c>
      <c r="E32" s="3"/>
      <c r="F32" s="3" t="s">
        <v>124</v>
      </c>
      <c r="G32" s="3" t="s">
        <v>135</v>
      </c>
      <c r="H32" s="3" t="s">
        <v>42</v>
      </c>
      <c r="I32" s="3" t="s">
        <v>42</v>
      </c>
      <c r="J32" s="6">
        <v>16411</v>
      </c>
      <c r="K32" s="7">
        <f t="shared" si="0"/>
        <v>12520.59</v>
      </c>
      <c r="L32" s="7">
        <f t="shared" si="1"/>
        <v>3232.8</v>
      </c>
      <c r="M32" s="6"/>
      <c r="N32" s="6"/>
      <c r="O32" s="6"/>
      <c r="P32" s="4">
        <v>116</v>
      </c>
      <c r="Q32" s="9"/>
      <c r="R32" s="6"/>
      <c r="S32" s="6"/>
      <c r="T32" s="9">
        <v>2200</v>
      </c>
      <c r="U32" s="4">
        <v>863</v>
      </c>
      <c r="V32" s="9"/>
      <c r="W32" s="9">
        <v>3099</v>
      </c>
      <c r="X32" s="11">
        <v>2332</v>
      </c>
      <c r="Y32" s="3"/>
      <c r="Z32" s="6"/>
      <c r="AA32" s="6"/>
      <c r="AB32" s="14">
        <v>657.61</v>
      </c>
      <c r="AC32" s="9">
        <v>3401</v>
      </c>
      <c r="AD32" s="16"/>
      <c r="AE32" s="16"/>
      <c r="AF32" s="17">
        <v>880.64</v>
      </c>
      <c r="AG32" s="19">
        <v>220.16</v>
      </c>
      <c r="AH32" s="7">
        <v>440.32</v>
      </c>
      <c r="AI32" s="7">
        <v>44.03</v>
      </c>
      <c r="AJ32" s="20">
        <v>1540</v>
      </c>
      <c r="AK32" s="7">
        <v>107.65</v>
      </c>
    </row>
    <row r="33" ht="15" spans="1:37">
      <c r="A33" s="2">
        <v>32</v>
      </c>
      <c r="B33" s="3" t="s">
        <v>97</v>
      </c>
      <c r="C33" s="3" t="s">
        <v>142</v>
      </c>
      <c r="D33" s="23" t="s">
        <v>143</v>
      </c>
      <c r="E33" s="3"/>
      <c r="F33" s="3" t="s">
        <v>124</v>
      </c>
      <c r="G33" s="3" t="s">
        <v>144</v>
      </c>
      <c r="H33" s="3" t="s">
        <v>42</v>
      </c>
      <c r="I33" s="3" t="s">
        <v>42</v>
      </c>
      <c r="J33" s="6">
        <v>9924</v>
      </c>
      <c r="K33" s="7">
        <f t="shared" si="0"/>
        <v>7403.65</v>
      </c>
      <c r="L33" s="7">
        <f t="shared" si="1"/>
        <v>2520.35</v>
      </c>
      <c r="M33" s="6"/>
      <c r="N33" s="6"/>
      <c r="O33" s="6"/>
      <c r="P33" s="4">
        <v>116</v>
      </c>
      <c r="Q33" s="9"/>
      <c r="R33" s="6"/>
      <c r="S33" s="6"/>
      <c r="T33" s="4"/>
      <c r="U33" s="9"/>
      <c r="V33" s="9">
        <v>2650</v>
      </c>
      <c r="W33" s="9">
        <v>1502</v>
      </c>
      <c r="X33" s="12">
        <v>1016</v>
      </c>
      <c r="Y33" s="6"/>
      <c r="Z33" s="6"/>
      <c r="AA33" s="6"/>
      <c r="AB33" s="14">
        <v>0</v>
      </c>
      <c r="AC33" s="9">
        <v>290</v>
      </c>
      <c r="AD33" s="16"/>
      <c r="AE33" s="16"/>
      <c r="AF33" s="17">
        <v>747.52</v>
      </c>
      <c r="AG33" s="19">
        <v>186.88</v>
      </c>
      <c r="AH33" s="7">
        <v>373.76</v>
      </c>
      <c r="AI33" s="7">
        <v>37.38</v>
      </c>
      <c r="AJ33" s="20">
        <v>1122</v>
      </c>
      <c r="AK33" s="7">
        <v>52.81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王波</cp:lastModifiedBy>
  <dcterms:created xsi:type="dcterms:W3CDTF">2023-05-12T11:15:00Z</dcterms:created>
  <dcterms:modified xsi:type="dcterms:W3CDTF">2025-05-22T11:20:34Z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BB5764514E8C493981FFA0A24B2B5C06_12</vt:lpwstr>
  </property>
</Properties>
</file>