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K1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含年休、双薪、不含目标奖个税
</t>
        </r>
      </text>
    </comment>
  </commentList>
</comments>
</file>

<file path=xl/sharedStrings.xml><?xml version="1.0" encoding="utf-8"?>
<sst xmlns="http://schemas.openxmlformats.org/spreadsheetml/2006/main" count="415" uniqueCount="200">
  <si>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</si>
  <si>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</si>
  <si>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</si>
  <si>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</si>
  <si>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</si>
  <si>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</si>
  <si>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</si>
  <si>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</si>
  <si>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</si>
  <si>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应发工资</t>
  </si>
  <si>
    <t>实发工资</t>
  </si>
  <si>
    <t>扣发合计</t>
  </si>
  <si>
    <t>职务/技术等级工资</t>
  </si>
  <si>
    <t>级别/岗位级别工资</t>
  </si>
  <si>
    <t>93年工改保留补贴</t>
  </si>
  <si>
    <t>独生子女父母奖励金</t>
  </si>
  <si>
    <t>公务员规范性津贴补贴</t>
  </si>
  <si>
    <t>公务交通补贴</t>
  </si>
  <si>
    <t>基础绩效奖</t>
  </si>
  <si>
    <t>岗位工资</t>
  </si>
  <si>
    <t>薪级工资</t>
  </si>
  <si>
    <t>见习试用期工资</t>
  </si>
  <si>
    <t>月基础绩效</t>
  </si>
  <si>
    <t>月奖励绩效</t>
  </si>
  <si>
    <t>岗位职务补贴</t>
  </si>
  <si>
    <t>信访工作人员岗位津贴</t>
  </si>
  <si>
    <t>乡镇工作补贴</t>
  </si>
  <si>
    <t>补扣社保</t>
  </si>
  <si>
    <t>一次性补扣发</t>
  </si>
  <si>
    <t>绩效奖金补扣发</t>
  </si>
  <si>
    <t>奖励绩效补扣发</t>
  </si>
  <si>
    <t>个人缴养老保险费</t>
  </si>
  <si>
    <t>个人缴医疗保险费</t>
  </si>
  <si>
    <t>个人缴职业年金</t>
  </si>
  <si>
    <t>个人缴失业保险费</t>
  </si>
  <si>
    <t>个人缴住房公积金</t>
  </si>
  <si>
    <t>个人所得税</t>
  </si>
  <si>
    <t>00003</t>
  </si>
  <si>
    <t>汪琳</t>
  </si>
  <si>
    <t>510103197108310040</t>
  </si>
  <si>
    <t>已登记公务员</t>
  </si>
  <si>
    <t>县处级正职</t>
  </si>
  <si>
    <t>是</t>
  </si>
  <si>
    <t/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</si>
  <si>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</si>
  <si>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</si>
  <si>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</si>
  <si>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</si>
  <si>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</si>
  <si>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</si>
  <si>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</si>
  <si>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</si>
  <si>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</si>
  <si>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</si>
  <si>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</si>
  <si>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</si>
  <si>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</si>
  <si>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</si>
  <si>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</si>
  <si>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</si>
  <si>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</si>
  <si>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</si>
  <si>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</si>
  <si>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</si>
  <si>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</si>
  <si>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</si>
  <si>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</si>
  <si>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00018</t>
  </si>
  <si>
    <t>罗先华</t>
  </si>
  <si>
    <t>510125197310025831</t>
  </si>
  <si>
    <t>00019</t>
  </si>
  <si>
    <t>周至涯</t>
  </si>
  <si>
    <t>511081198010240012</t>
  </si>
  <si>
    <t>00002</t>
  </si>
  <si>
    <t>熊静</t>
  </si>
  <si>
    <t>510102197005034083</t>
  </si>
  <si>
    <t>参公人员</t>
  </si>
  <si>
    <t>方敬玉</t>
  </si>
  <si>
    <t>510102196903083202</t>
  </si>
  <si>
    <t>县处级副职</t>
  </si>
  <si>
    <t>00005</t>
  </si>
  <si>
    <t>高洪艳</t>
  </si>
  <si>
    <t>510103197106094225</t>
  </si>
  <si>
    <t>罗蓉</t>
  </si>
  <si>
    <t>510106197511143528</t>
  </si>
  <si>
    <t>00009</t>
  </si>
  <si>
    <t>杨洋</t>
  </si>
  <si>
    <t>510106197512164128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</si>
  <si>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</si>
  <si>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</si>
  <si>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</si>
  <si>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</si>
  <si>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</si>
  <si>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</si>
  <si>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</si>
  <si>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</si>
  <si>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</si>
  <si>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</si>
  <si>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</si>
  <si>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刘丹</t>
  </si>
  <si>
    <t>513101198306270320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</si>
  <si>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</si>
  <si>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</si>
  <si>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</si>
  <si>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</si>
  <si>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</si>
  <si>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</si>
  <si>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</si>
  <si>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</si>
  <si>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</si>
  <si>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</si>
  <si>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</si>
  <si>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</si>
  <si>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</si>
  <si>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</si>
  <si>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</si>
  <si>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</si>
  <si>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</si>
  <si>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</si>
  <si>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</si>
  <si>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</si>
  <si>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</si>
  <si>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</si>
  <si>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</si>
  <si>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00039</t>
  </si>
  <si>
    <t>符译文</t>
  </si>
  <si>
    <t>513001199604011027</t>
  </si>
  <si>
    <t>00040</t>
  </si>
  <si>
    <t>陈秋如</t>
  </si>
  <si>
    <t>51150219950729002X</t>
  </si>
  <si>
    <t>00041</t>
  </si>
  <si>
    <t>杨也</t>
  </si>
  <si>
    <t>513902199405034969</t>
  </si>
  <si>
    <t>00042</t>
  </si>
  <si>
    <t>王优</t>
  </si>
  <si>
    <t>511522199501270031</t>
  </si>
  <si>
    <t>00043</t>
  </si>
  <si>
    <t>李洋洋</t>
  </si>
  <si>
    <t>130702198807161216</t>
  </si>
  <si>
    <t>00044</t>
  </si>
  <si>
    <t>罗茗文</t>
  </si>
  <si>
    <t>513723197908210014</t>
  </si>
  <si>
    <t>00045</t>
  </si>
  <si>
    <t>李润民</t>
  </si>
  <si>
    <t>511723199812279452</t>
  </si>
  <si>
    <t>00046</t>
  </si>
  <si>
    <t>余浩川</t>
  </si>
  <si>
    <t>513433198901200033</t>
  </si>
  <si>
    <t>00047</t>
  </si>
  <si>
    <t>曹钰佼</t>
  </si>
  <si>
    <t>51072219930820784X</t>
  </si>
  <si>
    <t>00048</t>
  </si>
  <si>
    <t>伍宇星</t>
  </si>
  <si>
    <t>510105199305021047</t>
  </si>
  <si>
    <t>00049</t>
  </si>
  <si>
    <t>卢泓良</t>
  </si>
  <si>
    <t>371311198812263436</t>
  </si>
  <si>
    <t>刘嘉</t>
  </si>
  <si>
    <t>51010419790927236X</t>
  </si>
  <si>
    <t>事业技术工人</t>
  </si>
  <si>
    <t>技术工二级</t>
  </si>
  <si>
    <t>张磊</t>
  </si>
  <si>
    <t>511111198901171715</t>
  </si>
  <si>
    <t>管理人员</t>
  </si>
  <si>
    <t>六级管理岗位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</si>
  <si>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</si>
  <si>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</si>
  <si>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</si>
  <si>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</si>
  <si>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</si>
  <si>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</si>
  <si>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</si>
  <si>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</si>
  <si>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</si>
  <si>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</si>
  <si>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</si>
  <si>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</si>
  <si>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</si>
  <si>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</si>
  <si>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</si>
  <si>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</si>
  <si>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李汶卿</t>
  </si>
  <si>
    <t>620503199907198039</t>
  </si>
  <si>
    <t>试用期</t>
  </si>
  <si>
    <t>00023</t>
  </si>
  <si>
    <t>李子贤</t>
  </si>
  <si>
    <t>13022719980123102X</t>
  </si>
  <si>
    <t>00024</t>
  </si>
  <si>
    <t>殷凌霄</t>
  </si>
  <si>
    <t>513101198908076023</t>
  </si>
  <si>
    <t>何万达</t>
  </si>
  <si>
    <t>513721199708058376</t>
  </si>
  <si>
    <t>沙砾</t>
  </si>
  <si>
    <t>510107198806212632</t>
  </si>
  <si>
    <t>00027</t>
  </si>
  <si>
    <t>张秋子</t>
  </si>
  <si>
    <t>513022199309130025</t>
  </si>
  <si>
    <t>00028</t>
  </si>
  <si>
    <t>申龙</t>
  </si>
  <si>
    <t>510726198801255811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</si>
</sst>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name val="宋体"/>
      <charset val="134"/>
      <scheme val="major"/>
    </font>
    <font>
      <b/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b/>
      <sz val="8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4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shrinkToFit="1"/>
    </xf>
    <xf numFmtId="176" fontId="3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6" fillId="0" borderId="1" xfId="0" applyFont="1" applyFill="1" applyBorder="1" applyAlignment="1">
      <alignment vertical="center" shrinkToFit="1"/>
    </xf>
    <xf numFmtId="177" fontId="3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 quotePrefix="1">
      <alignment vertical="center" shrinkToFit="1"/>
    </xf>
    <xf numFmtId="0" fontId="1" fillId="0" borderId="1" xfId="0" applyFont="1" applyBorder="1" applyAlignment="1" quotePrefix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2"/>
  <sheetViews>
    <sheetView tabSelected="1" workbookViewId="0">
      <pane xSplit="3" topLeftCell="D1" activePane="topRight" state="frozen"/>
      <selection/>
      <selection pane="topRight" activeCell="O23" sqref="O23"/>
    </sheetView>
  </sheetViews>
  <sheetFormatPr defaultColWidth="9" defaultRowHeight="13.5"/>
  <cols>
    <col min="4" max="4" width="17.875" customWidth="1"/>
    <col min="7" max="7" width="11.25" customWidth="1"/>
    <col min="11" max="11" width="9.25"/>
    <col min="28" max="28" width="9.375"/>
    <col min="32" max="32" width="9.375"/>
    <col min="36" max="36" width="9.375"/>
  </cols>
  <sheetData>
    <row r="1" ht="24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11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spans="1:37">
      <c r="A2" s="2">
        <v>1</v>
      </c>
      <c r="B2" s="17" t="s">
        <v>37</v>
      </c>
      <c r="C2" s="3" t="s">
        <v>38</v>
      </c>
      <c r="D2" s="17" t="s">
        <v>39</v>
      </c>
      <c r="E2" s="3"/>
      <c r="F2" s="3" t="s">
        <v>40</v>
      </c>
      <c r="G2" s="3" t="s">
        <v>41</v>
      </c>
      <c r="H2" s="3" t="s">
        <v>42</v>
      </c>
      <c r="I2" s="3" t="s">
        <v>42</v>
      </c>
      <c r="J2" s="6">
        <v>21513</v>
      </c>
      <c r="K2" s="7">
        <f>J2-L2</f>
        <v>15165.93</v>
      </c>
      <c r="L2" s="7">
        <f>SUM(AF2:AK2)</f>
        <v>6347.07</v>
      </c>
      <c r="M2" s="6">
        <v>2770</v>
      </c>
      <c r="N2" s="6">
        <v>4049</v>
      </c>
      <c r="O2" s="6">
        <v>116</v>
      </c>
      <c r="P2" s="3"/>
      <c r="Q2" s="6">
        <v>6618</v>
      </c>
      <c r="R2" s="6">
        <v>1040</v>
      </c>
      <c r="S2" s="6">
        <v>6920</v>
      </c>
      <c r="T2" s="8"/>
      <c r="U2" s="8"/>
      <c r="V2" s="8"/>
      <c r="W2" s="8"/>
      <c r="X2" s="8"/>
      <c r="Y2" s="3"/>
      <c r="Z2" s="6"/>
      <c r="AA2" s="6"/>
      <c r="AB2" s="12"/>
      <c r="AC2" s="6"/>
      <c r="AD2" s="6"/>
      <c r="AE2" s="6"/>
      <c r="AF2" s="7">
        <v>1613.76</v>
      </c>
      <c r="AG2" s="13">
        <v>403.44</v>
      </c>
      <c r="AH2" s="7">
        <v>806.88</v>
      </c>
      <c r="AI2" s="7" t="s">
        <v>43</v>
      </c>
      <c r="AJ2" s="16">
        <v>3303</v>
      </c>
      <c r="AK2" s="7">
        <v>219.99</v>
      </c>
    </row>
    <row r="3" spans="1:37">
      <c r="A3" s="2">
        <v>2</v>
      </c>
      <c r="B3" s="17" t="s">
        <v>44</v>
      </c>
      <c r="C3" s="3" t="s">
        <v>45</v>
      </c>
      <c r="D3" s="17" t="s">
        <v>46</v>
      </c>
      <c r="E3" s="3"/>
      <c r="F3" s="3" t="s">
        <v>40</v>
      </c>
      <c r="G3" s="3" t="s">
        <v>41</v>
      </c>
      <c r="H3" s="3" t="s">
        <v>42</v>
      </c>
      <c r="I3" s="3" t="s">
        <v>42</v>
      </c>
      <c r="J3" s="6">
        <v>21237</v>
      </c>
      <c r="K3" s="7">
        <f t="shared" ref="K3:K34" si="0">J3-L3</f>
        <v>14946.54</v>
      </c>
      <c r="L3" s="7">
        <f t="shared" ref="L3:L34" si="1">SUM(AF3:AK3)</f>
        <v>6290.46</v>
      </c>
      <c r="M3" s="6">
        <v>2770</v>
      </c>
      <c r="N3" s="6">
        <v>3773</v>
      </c>
      <c r="O3" s="6">
        <v>116</v>
      </c>
      <c r="P3" s="3"/>
      <c r="Q3" s="6">
        <v>6618</v>
      </c>
      <c r="R3" s="6">
        <v>1040</v>
      </c>
      <c r="S3" s="6">
        <v>6920</v>
      </c>
      <c r="T3" s="8"/>
      <c r="U3" s="8"/>
      <c r="V3" s="8"/>
      <c r="W3" s="8"/>
      <c r="X3" s="8"/>
      <c r="Y3" s="3"/>
      <c r="Z3" s="6"/>
      <c r="AA3" s="6"/>
      <c r="AB3" s="12"/>
      <c r="AC3" s="6"/>
      <c r="AD3" s="6"/>
      <c r="AE3" s="6"/>
      <c r="AF3" s="7">
        <v>1593.36</v>
      </c>
      <c r="AG3" s="13">
        <v>398.34</v>
      </c>
      <c r="AH3" s="7">
        <v>796.68</v>
      </c>
      <c r="AI3" s="7" t="s">
        <v>43</v>
      </c>
      <c r="AJ3" s="16">
        <v>3323</v>
      </c>
      <c r="AK3" s="7">
        <v>179.08</v>
      </c>
    </row>
    <row r="4" spans="1:37">
      <c r="A4" s="2">
        <v>3</v>
      </c>
      <c r="B4" s="17" t="s">
        <v>47</v>
      </c>
      <c r="C4" s="3" t="s">
        <v>48</v>
      </c>
      <c r="D4" s="17" t="s">
        <v>49</v>
      </c>
      <c r="E4" s="3"/>
      <c r="F4" s="3" t="s">
        <v>50</v>
      </c>
      <c r="G4" s="3" t="s">
        <v>51</v>
      </c>
      <c r="H4" s="3" t="s">
        <v>42</v>
      </c>
      <c r="I4" s="3" t="s">
        <v>42</v>
      </c>
      <c r="J4" s="6">
        <v>16564</v>
      </c>
      <c r="K4" s="7">
        <f t="shared" si="0"/>
        <v>11713.47</v>
      </c>
      <c r="L4" s="7">
        <f t="shared" si="1"/>
        <v>4850.53</v>
      </c>
      <c r="M4" s="6">
        <v>1780</v>
      </c>
      <c r="N4" s="6">
        <v>3439</v>
      </c>
      <c r="O4" s="6">
        <v>116</v>
      </c>
      <c r="P4" s="3"/>
      <c r="Q4" s="6">
        <v>5529</v>
      </c>
      <c r="R4" s="6">
        <v>650</v>
      </c>
      <c r="S4" s="6">
        <v>5050</v>
      </c>
      <c r="T4" s="8"/>
      <c r="U4" s="8"/>
      <c r="V4" s="8"/>
      <c r="W4" s="8"/>
      <c r="X4" s="8"/>
      <c r="Y4" s="3"/>
      <c r="Z4" s="6"/>
      <c r="AA4" s="6"/>
      <c r="AB4" s="12"/>
      <c r="AC4" s="6"/>
      <c r="AD4" s="6"/>
      <c r="AE4" s="6"/>
      <c r="AF4" s="7">
        <v>1252.56</v>
      </c>
      <c r="AG4" s="13">
        <v>313.14</v>
      </c>
      <c r="AH4" s="7">
        <v>626.28</v>
      </c>
      <c r="AI4" s="7" t="s">
        <v>43</v>
      </c>
      <c r="AJ4" s="16">
        <v>2521</v>
      </c>
      <c r="AK4" s="7">
        <v>137.55</v>
      </c>
    </row>
    <row r="5" spans="1:37">
      <c r="A5" s="2">
        <v>4</v>
      </c>
      <c r="B5" s="17" t="s">
        <v>52</v>
      </c>
      <c r="C5" s="3" t="s">
        <v>53</v>
      </c>
      <c r="D5" s="17" t="s">
        <v>54</v>
      </c>
      <c r="E5" s="3"/>
      <c r="F5" s="3" t="s">
        <v>50</v>
      </c>
      <c r="G5" s="3" t="s">
        <v>51</v>
      </c>
      <c r="H5" s="3" t="s">
        <v>42</v>
      </c>
      <c r="I5" s="3" t="s">
        <v>42</v>
      </c>
      <c r="J5" s="6">
        <v>15810</v>
      </c>
      <c r="K5" s="7">
        <f t="shared" si="0"/>
        <v>11363.1</v>
      </c>
      <c r="L5" s="7">
        <f t="shared" si="1"/>
        <v>4446.9</v>
      </c>
      <c r="M5" s="6">
        <v>1780</v>
      </c>
      <c r="N5" s="6">
        <v>2685</v>
      </c>
      <c r="O5" s="6">
        <v>116</v>
      </c>
      <c r="P5" s="3"/>
      <c r="Q5" s="6">
        <v>5529</v>
      </c>
      <c r="R5" s="6">
        <v>650</v>
      </c>
      <c r="S5" s="6">
        <v>5050</v>
      </c>
      <c r="T5" s="8"/>
      <c r="U5" s="8"/>
      <c r="V5" s="8"/>
      <c r="W5" s="8"/>
      <c r="X5" s="8"/>
      <c r="Y5" s="3"/>
      <c r="Z5" s="6"/>
      <c r="AA5" s="6"/>
      <c r="AB5" s="12"/>
      <c r="AC5" s="6"/>
      <c r="AD5" s="6"/>
      <c r="AE5" s="6"/>
      <c r="AF5" s="7">
        <v>1195.76</v>
      </c>
      <c r="AG5" s="13">
        <v>298.94</v>
      </c>
      <c r="AH5" s="7">
        <v>597.88</v>
      </c>
      <c r="AI5" s="7" t="s">
        <v>43</v>
      </c>
      <c r="AJ5" s="16">
        <v>2274</v>
      </c>
      <c r="AK5" s="7">
        <v>80.32</v>
      </c>
    </row>
    <row r="6" spans="1:37">
      <c r="A6" s="2">
        <v>5</v>
      </c>
      <c r="B6" s="17" t="s">
        <v>55</v>
      </c>
      <c r="C6" s="3" t="s">
        <v>56</v>
      </c>
      <c r="D6" s="17" t="s">
        <v>57</v>
      </c>
      <c r="E6" s="3"/>
      <c r="F6" s="3" t="s">
        <v>58</v>
      </c>
      <c r="G6" s="3" t="s">
        <v>59</v>
      </c>
      <c r="H6" s="3" t="s">
        <v>42</v>
      </c>
      <c r="I6" s="3" t="s">
        <v>42</v>
      </c>
      <c r="J6" s="6">
        <v>14020</v>
      </c>
      <c r="K6" s="7">
        <f t="shared" si="0"/>
        <v>9860.46</v>
      </c>
      <c r="L6" s="7">
        <f t="shared" si="1"/>
        <v>4159.54</v>
      </c>
      <c r="M6" s="6">
        <v>1200</v>
      </c>
      <c r="N6" s="6">
        <v>2298</v>
      </c>
      <c r="O6" s="6">
        <v>116</v>
      </c>
      <c r="P6" s="6">
        <v>5</v>
      </c>
      <c r="Q6" s="6">
        <v>5451</v>
      </c>
      <c r="R6" s="6">
        <v>500</v>
      </c>
      <c r="S6" s="6">
        <v>4450</v>
      </c>
      <c r="T6" s="8"/>
      <c r="U6" s="8"/>
      <c r="V6" s="8"/>
      <c r="W6" s="8"/>
      <c r="X6" s="8"/>
      <c r="Y6" s="3"/>
      <c r="Z6" s="6"/>
      <c r="AA6" s="6"/>
      <c r="AB6" s="12"/>
      <c r="AC6" s="6"/>
      <c r="AD6" s="6"/>
      <c r="AE6" s="6"/>
      <c r="AF6" s="7">
        <v>1069.04</v>
      </c>
      <c r="AG6" s="13">
        <v>267.26</v>
      </c>
      <c r="AH6" s="7">
        <v>534.52</v>
      </c>
      <c r="AI6" s="7" t="s">
        <v>43</v>
      </c>
      <c r="AJ6" s="16">
        <v>2204</v>
      </c>
      <c r="AK6" s="7">
        <v>84.72</v>
      </c>
    </row>
    <row r="7" spans="1:37">
      <c r="A7" s="2">
        <v>6</v>
      </c>
      <c r="B7" s="17" t="s">
        <v>60</v>
      </c>
      <c r="C7" s="3" t="s">
        <v>61</v>
      </c>
      <c r="D7" s="17" t="s">
        <v>62</v>
      </c>
      <c r="E7" s="3"/>
      <c r="F7" s="3" t="s">
        <v>40</v>
      </c>
      <c r="G7" s="3" t="s">
        <v>41</v>
      </c>
      <c r="H7" s="3" t="s">
        <v>42</v>
      </c>
      <c r="I7" s="3" t="s">
        <v>42</v>
      </c>
      <c r="J7" s="6">
        <v>23304</v>
      </c>
      <c r="K7" s="7">
        <f t="shared" si="0"/>
        <v>15593.92</v>
      </c>
      <c r="L7" s="7">
        <f t="shared" si="1"/>
        <v>7710.08</v>
      </c>
      <c r="M7" s="6">
        <v>2770</v>
      </c>
      <c r="N7" s="6">
        <v>4247</v>
      </c>
      <c r="O7" s="6">
        <v>116</v>
      </c>
      <c r="P7" s="3"/>
      <c r="Q7" s="6">
        <v>7951</v>
      </c>
      <c r="R7" s="6">
        <v>1040</v>
      </c>
      <c r="S7" s="6">
        <v>7180</v>
      </c>
      <c r="T7" s="8"/>
      <c r="U7" s="8"/>
      <c r="V7" s="8"/>
      <c r="W7" s="8"/>
      <c r="X7" s="8"/>
      <c r="Y7" s="3"/>
      <c r="Z7" s="6"/>
      <c r="AA7" s="6"/>
      <c r="AB7" s="12"/>
      <c r="AC7" s="6"/>
      <c r="AD7" s="6"/>
      <c r="AE7" s="6"/>
      <c r="AF7" s="7">
        <v>1756.24</v>
      </c>
      <c r="AG7" s="13">
        <v>439.06</v>
      </c>
      <c r="AH7" s="7">
        <v>878.12</v>
      </c>
      <c r="AI7" s="7"/>
      <c r="AJ7" s="16">
        <v>3588</v>
      </c>
      <c r="AK7" s="7">
        <v>1048.66</v>
      </c>
    </row>
    <row r="8" spans="1:37">
      <c r="A8" s="2">
        <v>7</v>
      </c>
      <c r="B8" s="17" t="s">
        <v>63</v>
      </c>
      <c r="C8" s="3" t="s">
        <v>64</v>
      </c>
      <c r="D8" s="17" t="s">
        <v>65</v>
      </c>
      <c r="E8" s="3"/>
      <c r="F8" s="3" t="s">
        <v>40</v>
      </c>
      <c r="G8" s="3" t="s">
        <v>66</v>
      </c>
      <c r="H8" s="3" t="s">
        <v>42</v>
      </c>
      <c r="I8" s="3" t="s">
        <v>42</v>
      </c>
      <c r="J8" s="6">
        <v>26481</v>
      </c>
      <c r="K8" s="7">
        <f t="shared" si="0"/>
        <v>18634.41</v>
      </c>
      <c r="L8" s="7">
        <f t="shared" si="1"/>
        <v>7846.59</v>
      </c>
      <c r="M8" s="6">
        <v>2940</v>
      </c>
      <c r="N8" s="6">
        <v>3653</v>
      </c>
      <c r="O8" s="6">
        <v>116</v>
      </c>
      <c r="P8" s="6">
        <v>5</v>
      </c>
      <c r="Q8" s="6">
        <v>9617</v>
      </c>
      <c r="R8" s="6">
        <v>1690</v>
      </c>
      <c r="S8" s="6">
        <v>8260</v>
      </c>
      <c r="T8" s="8"/>
      <c r="U8" s="8"/>
      <c r="V8" s="8"/>
      <c r="W8" s="8"/>
      <c r="X8" s="8"/>
      <c r="Y8" s="6">
        <v>200</v>
      </c>
      <c r="Z8" s="6"/>
      <c r="AA8" s="6"/>
      <c r="AB8" s="12"/>
      <c r="AC8" s="6"/>
      <c r="AD8" s="6"/>
      <c r="AE8" s="6"/>
      <c r="AF8" s="7">
        <v>1804.4</v>
      </c>
      <c r="AG8" s="13">
        <v>451.1</v>
      </c>
      <c r="AH8" s="7">
        <v>902.2</v>
      </c>
      <c r="AI8" s="7"/>
      <c r="AJ8" s="16">
        <v>3764</v>
      </c>
      <c r="AK8" s="7">
        <v>924.89</v>
      </c>
    </row>
    <row r="9" spans="1:37">
      <c r="A9" s="2">
        <v>8</v>
      </c>
      <c r="B9" s="17" t="s">
        <v>67</v>
      </c>
      <c r="C9" s="4" t="s">
        <v>68</v>
      </c>
      <c r="D9" s="18" t="s">
        <v>69</v>
      </c>
      <c r="E9" s="4"/>
      <c r="F9" s="4" t="s">
        <v>40</v>
      </c>
      <c r="G9" s="4" t="s">
        <v>41</v>
      </c>
      <c r="H9" s="3" t="s">
        <v>42</v>
      </c>
      <c r="I9" s="3" t="s">
        <v>42</v>
      </c>
      <c r="J9" s="6">
        <v>22644</v>
      </c>
      <c r="K9" s="7">
        <f t="shared" si="0"/>
        <v>15878.55</v>
      </c>
      <c r="L9" s="7">
        <f t="shared" si="1"/>
        <v>6765.45</v>
      </c>
      <c r="M9" s="6">
        <v>2770</v>
      </c>
      <c r="N9" s="6">
        <v>3587</v>
      </c>
      <c r="O9" s="6">
        <v>116</v>
      </c>
      <c r="P9" s="3"/>
      <c r="Q9" s="6">
        <v>7951</v>
      </c>
      <c r="R9" s="6">
        <v>1040</v>
      </c>
      <c r="S9" s="6">
        <v>7180</v>
      </c>
      <c r="T9" s="8"/>
      <c r="U9" s="8"/>
      <c r="V9" s="8"/>
      <c r="W9" s="8"/>
      <c r="X9" s="8"/>
      <c r="Y9" s="6"/>
      <c r="Z9" s="6"/>
      <c r="AA9" s="6"/>
      <c r="AB9" s="12"/>
      <c r="AC9" s="6"/>
      <c r="AD9" s="6"/>
      <c r="AE9" s="6"/>
      <c r="AF9" s="13">
        <v>1706.72</v>
      </c>
      <c r="AG9" s="13">
        <v>426.68</v>
      </c>
      <c r="AH9" s="13">
        <v>853.36</v>
      </c>
      <c r="AI9" s="13"/>
      <c r="AJ9" s="16">
        <v>3478</v>
      </c>
      <c r="AK9" s="7">
        <v>300.69</v>
      </c>
    </row>
    <row r="10" spans="1:37">
      <c r="A10" s="2">
        <v>9</v>
      </c>
      <c r="B10" s="17" t="s">
        <v>70</v>
      </c>
      <c r="C10" s="4" t="s">
        <v>71</v>
      </c>
      <c r="D10" s="18" t="s">
        <v>72</v>
      </c>
      <c r="E10" s="4"/>
      <c r="F10" s="4" t="s">
        <v>40</v>
      </c>
      <c r="G10" s="4" t="s">
        <v>41</v>
      </c>
      <c r="H10" s="3" t="s">
        <v>42</v>
      </c>
      <c r="I10" s="3" t="s">
        <v>42</v>
      </c>
      <c r="J10" s="6">
        <v>21875</v>
      </c>
      <c r="K10" s="7">
        <f t="shared" si="0"/>
        <v>15417.77</v>
      </c>
      <c r="L10" s="7">
        <f t="shared" si="1"/>
        <v>6457.23</v>
      </c>
      <c r="M10" s="6">
        <v>2770</v>
      </c>
      <c r="N10" s="6">
        <v>2818</v>
      </c>
      <c r="O10" s="6">
        <v>116</v>
      </c>
      <c r="P10" s="3"/>
      <c r="Q10" s="6">
        <v>7951</v>
      </c>
      <c r="R10" s="6">
        <v>1040</v>
      </c>
      <c r="S10" s="6">
        <v>7180</v>
      </c>
      <c r="T10" s="8"/>
      <c r="U10" s="8"/>
      <c r="V10" s="8"/>
      <c r="W10" s="8"/>
      <c r="X10" s="8"/>
      <c r="Y10" s="6"/>
      <c r="Z10" s="6"/>
      <c r="AA10" s="6"/>
      <c r="AB10" s="12"/>
      <c r="AC10" s="6"/>
      <c r="AD10" s="6"/>
      <c r="AE10" s="6"/>
      <c r="AF10" s="13">
        <v>1648.32</v>
      </c>
      <c r="AG10" s="13">
        <v>412.08</v>
      </c>
      <c r="AH10" s="13">
        <v>824.16</v>
      </c>
      <c r="AI10" s="13"/>
      <c r="AJ10" s="16">
        <v>3379</v>
      </c>
      <c r="AK10" s="7">
        <v>193.67</v>
      </c>
    </row>
    <row r="11" spans="1:37">
      <c r="A11" s="2">
        <v>10</v>
      </c>
      <c r="B11" s="17" t="s">
        <v>73</v>
      </c>
      <c r="C11" s="3" t="s">
        <v>74</v>
      </c>
      <c r="D11" s="17" t="s">
        <v>75</v>
      </c>
      <c r="E11" s="3"/>
      <c r="F11" s="3" t="s">
        <v>76</v>
      </c>
      <c r="G11" s="3" t="s">
        <v>41</v>
      </c>
      <c r="H11" s="3" t="s">
        <v>42</v>
      </c>
      <c r="I11" s="3" t="s">
        <v>42</v>
      </c>
      <c r="J11" s="3">
        <v>22239</v>
      </c>
      <c r="K11" s="7">
        <f t="shared" si="0"/>
        <v>15023.86</v>
      </c>
      <c r="L11" s="7">
        <f t="shared" si="1"/>
        <v>7215.14</v>
      </c>
      <c r="M11" s="3">
        <v>2770</v>
      </c>
      <c r="N11" s="3">
        <v>4247</v>
      </c>
      <c r="O11" s="3">
        <v>116</v>
      </c>
      <c r="P11" s="3"/>
      <c r="Q11" s="3">
        <v>7626</v>
      </c>
      <c r="R11" s="3">
        <v>1040</v>
      </c>
      <c r="S11" s="9">
        <v>6440</v>
      </c>
      <c r="T11" s="8"/>
      <c r="U11" s="8"/>
      <c r="V11" s="8"/>
      <c r="W11" s="8"/>
      <c r="X11" s="8"/>
      <c r="Y11" s="8"/>
      <c r="Z11" s="3"/>
      <c r="AA11" s="3"/>
      <c r="AB11" s="12"/>
      <c r="AC11" s="14"/>
      <c r="AD11" s="14"/>
      <c r="AE11" s="14"/>
      <c r="AF11" s="7">
        <v>1633.04</v>
      </c>
      <c r="AG11" s="13">
        <v>408.26</v>
      </c>
      <c r="AH11" s="7">
        <v>816.52</v>
      </c>
      <c r="AI11" s="7" t="s">
        <v>43</v>
      </c>
      <c r="AJ11" s="16">
        <v>3372</v>
      </c>
      <c r="AK11" s="7">
        <v>985.32</v>
      </c>
    </row>
    <row r="12" spans="1:37">
      <c r="A12" s="2">
        <v>11</v>
      </c>
      <c r="B12" s="17" t="s">
        <v>37</v>
      </c>
      <c r="C12" s="3" t="s">
        <v>77</v>
      </c>
      <c r="D12" s="17" t="s">
        <v>78</v>
      </c>
      <c r="E12" s="3"/>
      <c r="F12" s="3" t="s">
        <v>76</v>
      </c>
      <c r="G12" s="3" t="s">
        <v>79</v>
      </c>
      <c r="H12" s="3" t="s">
        <v>42</v>
      </c>
      <c r="I12" s="3" t="s">
        <v>42</v>
      </c>
      <c r="J12" s="3">
        <v>18278</v>
      </c>
      <c r="K12" s="7">
        <f t="shared" si="0"/>
        <v>12977.16</v>
      </c>
      <c r="L12" s="7">
        <f t="shared" si="1"/>
        <v>5300.84</v>
      </c>
      <c r="M12" s="3">
        <v>2160</v>
      </c>
      <c r="N12" s="3">
        <v>3868</v>
      </c>
      <c r="O12" s="3">
        <v>116</v>
      </c>
      <c r="P12" s="3"/>
      <c r="Q12" s="3">
        <v>5614</v>
      </c>
      <c r="R12" s="3">
        <v>1040</v>
      </c>
      <c r="S12" s="9">
        <v>5480</v>
      </c>
      <c r="T12" s="8"/>
      <c r="U12" s="8"/>
      <c r="V12" s="8"/>
      <c r="W12" s="8"/>
      <c r="X12" s="8"/>
      <c r="Y12" s="8"/>
      <c r="Z12" s="3"/>
      <c r="AA12" s="3"/>
      <c r="AB12" s="12"/>
      <c r="AC12" s="14"/>
      <c r="AD12" s="14"/>
      <c r="AE12" s="14"/>
      <c r="AF12" s="7">
        <v>1357.52</v>
      </c>
      <c r="AG12" s="13">
        <v>339.38</v>
      </c>
      <c r="AH12" s="7">
        <v>678.76</v>
      </c>
      <c r="AI12" s="7" t="s">
        <v>43</v>
      </c>
      <c r="AJ12" s="16">
        <v>2807</v>
      </c>
      <c r="AK12" s="7">
        <v>118.18</v>
      </c>
    </row>
    <row r="13" spans="1:37">
      <c r="A13" s="2">
        <v>12</v>
      </c>
      <c r="B13" s="17" t="s">
        <v>80</v>
      </c>
      <c r="C13" s="3" t="s">
        <v>81</v>
      </c>
      <c r="D13" s="17" t="s">
        <v>82</v>
      </c>
      <c r="E13" s="3"/>
      <c r="F13" s="3" t="s">
        <v>76</v>
      </c>
      <c r="G13" s="3" t="s">
        <v>79</v>
      </c>
      <c r="H13" s="3" t="s">
        <v>42</v>
      </c>
      <c r="I13" s="3" t="s">
        <v>42</v>
      </c>
      <c r="J13" s="3">
        <v>18658</v>
      </c>
      <c r="K13" s="7">
        <f t="shared" si="0"/>
        <v>12866.83</v>
      </c>
      <c r="L13" s="7">
        <f t="shared" si="1"/>
        <v>5791.17</v>
      </c>
      <c r="M13" s="3">
        <v>2160</v>
      </c>
      <c r="N13" s="3">
        <v>3518</v>
      </c>
      <c r="O13" s="3">
        <v>116</v>
      </c>
      <c r="P13" s="3"/>
      <c r="Q13" s="3">
        <v>5864</v>
      </c>
      <c r="R13" s="3">
        <v>1040</v>
      </c>
      <c r="S13" s="9">
        <v>5960</v>
      </c>
      <c r="T13" s="8"/>
      <c r="U13" s="8"/>
      <c r="V13" s="8"/>
      <c r="W13" s="8"/>
      <c r="X13" s="8"/>
      <c r="Y13" s="8"/>
      <c r="Z13" s="3"/>
      <c r="AA13" s="3"/>
      <c r="AB13" s="12"/>
      <c r="AC13" s="14"/>
      <c r="AD13" s="14"/>
      <c r="AE13" s="14"/>
      <c r="AF13" s="7">
        <v>1388.4</v>
      </c>
      <c r="AG13" s="13">
        <v>347.1</v>
      </c>
      <c r="AH13" s="7">
        <v>694.2</v>
      </c>
      <c r="AI13" s="7" t="s">
        <v>43</v>
      </c>
      <c r="AJ13" s="16">
        <v>3016</v>
      </c>
      <c r="AK13" s="7">
        <v>345.47</v>
      </c>
    </row>
    <row r="14" spans="1:37">
      <c r="A14" s="2">
        <v>13</v>
      </c>
      <c r="B14" s="17" t="s">
        <v>52</v>
      </c>
      <c r="C14" s="3" t="s">
        <v>83</v>
      </c>
      <c r="D14" s="17" t="s">
        <v>84</v>
      </c>
      <c r="E14" s="3"/>
      <c r="F14" s="3" t="s">
        <v>76</v>
      </c>
      <c r="G14" s="3" t="s">
        <v>51</v>
      </c>
      <c r="H14" s="3" t="s">
        <v>42</v>
      </c>
      <c r="I14" s="3" t="s">
        <v>42</v>
      </c>
      <c r="J14" s="3">
        <v>16175</v>
      </c>
      <c r="K14" s="7">
        <f t="shared" si="0"/>
        <v>11450.69</v>
      </c>
      <c r="L14" s="7">
        <f t="shared" si="1"/>
        <v>4724.31</v>
      </c>
      <c r="M14" s="3">
        <v>1780</v>
      </c>
      <c r="N14" s="3">
        <v>3045</v>
      </c>
      <c r="O14" s="3">
        <v>116</v>
      </c>
      <c r="P14" s="3">
        <v>5</v>
      </c>
      <c r="Q14" s="3">
        <v>5529</v>
      </c>
      <c r="R14" s="3">
        <v>650</v>
      </c>
      <c r="S14" s="9">
        <v>5050</v>
      </c>
      <c r="T14" s="8"/>
      <c r="U14" s="8"/>
      <c r="V14" s="8"/>
      <c r="W14" s="8"/>
      <c r="X14" s="8"/>
      <c r="Y14" s="8"/>
      <c r="Z14" s="3"/>
      <c r="AA14" s="3"/>
      <c r="AB14" s="12"/>
      <c r="AC14" s="14"/>
      <c r="AD14" s="14"/>
      <c r="AE14" s="14"/>
      <c r="AF14" s="7">
        <v>1222.8</v>
      </c>
      <c r="AG14" s="13">
        <v>305.7</v>
      </c>
      <c r="AH14" s="7">
        <v>611.4</v>
      </c>
      <c r="AI14" s="7" t="s">
        <v>43</v>
      </c>
      <c r="AJ14" s="16">
        <v>2517</v>
      </c>
      <c r="AK14" s="7">
        <v>67.41</v>
      </c>
    </row>
    <row r="15" spans="1:37">
      <c r="A15" s="2">
        <v>14</v>
      </c>
      <c r="B15" s="17" t="s">
        <v>85</v>
      </c>
      <c r="C15" s="3" t="s">
        <v>86</v>
      </c>
      <c r="D15" s="17" t="s">
        <v>87</v>
      </c>
      <c r="E15" s="3"/>
      <c r="F15" s="3" t="s">
        <v>76</v>
      </c>
      <c r="G15" s="3" t="s">
        <v>51</v>
      </c>
      <c r="H15" s="3" t="s">
        <v>42</v>
      </c>
      <c r="I15" s="3" t="s">
        <v>42</v>
      </c>
      <c r="J15" s="3">
        <v>16323</v>
      </c>
      <c r="K15" s="7">
        <f t="shared" si="0"/>
        <v>11491.85</v>
      </c>
      <c r="L15" s="7">
        <f t="shared" si="1"/>
        <v>4831.15</v>
      </c>
      <c r="M15" s="3">
        <v>1780</v>
      </c>
      <c r="N15" s="3">
        <v>3198</v>
      </c>
      <c r="O15" s="3">
        <v>116</v>
      </c>
      <c r="P15" s="3"/>
      <c r="Q15" s="3">
        <v>5529</v>
      </c>
      <c r="R15" s="3">
        <v>650</v>
      </c>
      <c r="S15" s="9">
        <v>5050</v>
      </c>
      <c r="T15" s="8"/>
      <c r="U15" s="8"/>
      <c r="V15" s="8"/>
      <c r="W15" s="8"/>
      <c r="X15" s="8"/>
      <c r="Y15" s="8"/>
      <c r="Z15" s="3"/>
      <c r="AA15" s="3"/>
      <c r="AB15" s="12"/>
      <c r="AC15" s="14"/>
      <c r="AD15" s="14"/>
      <c r="AE15" s="14"/>
      <c r="AF15" s="7">
        <v>1234.32</v>
      </c>
      <c r="AG15" s="13">
        <v>308.58</v>
      </c>
      <c r="AH15" s="7">
        <v>617.16</v>
      </c>
      <c r="AI15" s="7" t="s">
        <v>43</v>
      </c>
      <c r="AJ15" s="16">
        <v>2494</v>
      </c>
      <c r="AK15" s="7">
        <v>177.09</v>
      </c>
    </row>
    <row r="16" spans="1:37">
      <c r="A16" s="2">
        <v>15</v>
      </c>
      <c r="B16" s="17" t="s">
        <v>55</v>
      </c>
      <c r="C16" s="3" t="s">
        <v>88</v>
      </c>
      <c r="D16" s="17" t="s">
        <v>89</v>
      </c>
      <c r="E16" s="3"/>
      <c r="F16" s="3" t="s">
        <v>76</v>
      </c>
      <c r="G16" s="3" t="s">
        <v>51</v>
      </c>
      <c r="H16" s="3" t="s">
        <v>42</v>
      </c>
      <c r="I16" s="3" t="s">
        <v>42</v>
      </c>
      <c r="J16" s="3">
        <v>16569</v>
      </c>
      <c r="K16" s="7">
        <f t="shared" si="0"/>
        <v>11673.47</v>
      </c>
      <c r="L16" s="7">
        <f t="shared" si="1"/>
        <v>4895.53</v>
      </c>
      <c r="M16" s="3">
        <v>1780</v>
      </c>
      <c r="N16" s="3">
        <v>3439</v>
      </c>
      <c r="O16" s="3">
        <v>116</v>
      </c>
      <c r="P16" s="3">
        <v>5</v>
      </c>
      <c r="Q16" s="3">
        <v>5529</v>
      </c>
      <c r="R16" s="3">
        <v>650</v>
      </c>
      <c r="S16" s="9">
        <v>5050</v>
      </c>
      <c r="T16" s="8"/>
      <c r="U16" s="8"/>
      <c r="V16" s="8"/>
      <c r="W16" s="8"/>
      <c r="X16" s="8"/>
      <c r="Y16" s="8"/>
      <c r="Z16" s="3"/>
      <c r="AA16" s="3"/>
      <c r="AB16" s="12"/>
      <c r="AC16" s="14"/>
      <c r="AD16" s="14"/>
      <c r="AE16" s="14"/>
      <c r="AF16" s="7">
        <v>1252.56</v>
      </c>
      <c r="AG16" s="13">
        <v>313.14</v>
      </c>
      <c r="AH16" s="7">
        <v>626.28</v>
      </c>
      <c r="AI16" s="7" t="s">
        <v>43</v>
      </c>
      <c r="AJ16" s="16">
        <v>2521</v>
      </c>
      <c r="AK16" s="7">
        <v>182.55</v>
      </c>
    </row>
    <row r="17" spans="1:37">
      <c r="A17" s="2">
        <v>16</v>
      </c>
      <c r="B17" s="17" t="s">
        <v>90</v>
      </c>
      <c r="C17" s="3" t="s">
        <v>91</v>
      </c>
      <c r="D17" s="17" t="s">
        <v>92</v>
      </c>
      <c r="E17" s="3"/>
      <c r="F17" s="3" t="s">
        <v>76</v>
      </c>
      <c r="G17" s="3" t="s">
        <v>51</v>
      </c>
      <c r="H17" s="3" t="s">
        <v>42</v>
      </c>
      <c r="I17" s="3" t="s">
        <v>42</v>
      </c>
      <c r="J17" s="3">
        <v>15810</v>
      </c>
      <c r="K17" s="7">
        <f t="shared" si="0"/>
        <v>11205.96</v>
      </c>
      <c r="L17" s="7">
        <f t="shared" si="1"/>
        <v>4604.04</v>
      </c>
      <c r="M17" s="3">
        <v>1780</v>
      </c>
      <c r="N17" s="3">
        <v>2685</v>
      </c>
      <c r="O17" s="3">
        <v>116</v>
      </c>
      <c r="P17" s="3"/>
      <c r="Q17" s="3">
        <v>5529</v>
      </c>
      <c r="R17" s="3">
        <v>650</v>
      </c>
      <c r="S17" s="9">
        <v>5050</v>
      </c>
      <c r="T17" s="8"/>
      <c r="U17" s="8"/>
      <c r="V17" s="8"/>
      <c r="W17" s="8"/>
      <c r="X17" s="8"/>
      <c r="Y17" s="8"/>
      <c r="Z17" s="3"/>
      <c r="AA17" s="3"/>
      <c r="AB17" s="12"/>
      <c r="AC17" s="14"/>
      <c r="AD17" s="14"/>
      <c r="AE17" s="14"/>
      <c r="AF17" s="7">
        <v>1195.76</v>
      </c>
      <c r="AG17" s="13">
        <v>298.94</v>
      </c>
      <c r="AH17" s="7">
        <v>597.88</v>
      </c>
      <c r="AI17" s="7" t="s">
        <v>43</v>
      </c>
      <c r="AJ17" s="16">
        <v>2436</v>
      </c>
      <c r="AK17" s="7">
        <v>75.46</v>
      </c>
    </row>
    <row r="18" spans="1:37">
      <c r="A18" s="2">
        <v>17</v>
      </c>
      <c r="B18" s="17" t="s">
        <v>93</v>
      </c>
      <c r="C18" s="3" t="s">
        <v>94</v>
      </c>
      <c r="D18" s="17" t="s">
        <v>95</v>
      </c>
      <c r="E18" s="3"/>
      <c r="F18" s="3" t="s">
        <v>76</v>
      </c>
      <c r="G18" s="3" t="s">
        <v>51</v>
      </c>
      <c r="H18" s="3" t="s">
        <v>42</v>
      </c>
      <c r="I18" s="3" t="s">
        <v>42</v>
      </c>
      <c r="J18" s="3">
        <v>15810</v>
      </c>
      <c r="K18" s="7">
        <f t="shared" si="0"/>
        <v>11246.7</v>
      </c>
      <c r="L18" s="7">
        <f t="shared" si="1"/>
        <v>4563.3</v>
      </c>
      <c r="M18" s="3">
        <v>1780</v>
      </c>
      <c r="N18" s="3">
        <v>2685</v>
      </c>
      <c r="O18" s="3">
        <v>116</v>
      </c>
      <c r="P18" s="3"/>
      <c r="Q18" s="3">
        <v>5529</v>
      </c>
      <c r="R18" s="3">
        <v>650</v>
      </c>
      <c r="S18" s="9">
        <v>5050</v>
      </c>
      <c r="T18" s="8"/>
      <c r="U18" s="8"/>
      <c r="V18" s="8"/>
      <c r="W18" s="8"/>
      <c r="X18" s="8"/>
      <c r="Y18" s="8"/>
      <c r="Z18" s="3"/>
      <c r="AA18" s="3"/>
      <c r="AB18" s="12"/>
      <c r="AC18" s="14"/>
      <c r="AD18" s="14"/>
      <c r="AE18" s="14"/>
      <c r="AF18" s="7">
        <v>1195.76</v>
      </c>
      <c r="AG18" s="13">
        <v>298.94</v>
      </c>
      <c r="AH18" s="7">
        <v>597.88</v>
      </c>
      <c r="AI18" s="7" t="s">
        <v>43</v>
      </c>
      <c r="AJ18" s="16">
        <v>2394</v>
      </c>
      <c r="AK18" s="7">
        <v>76.72</v>
      </c>
    </row>
    <row r="19" spans="1:37">
      <c r="A19" s="2">
        <v>18</v>
      </c>
      <c r="B19" s="17" t="s">
        <v>96</v>
      </c>
      <c r="C19" s="3" t="s">
        <v>97</v>
      </c>
      <c r="D19" s="17" t="s">
        <v>98</v>
      </c>
      <c r="E19" s="3"/>
      <c r="F19" s="3" t="s">
        <v>76</v>
      </c>
      <c r="G19" s="3" t="s">
        <v>79</v>
      </c>
      <c r="H19" s="3" t="s">
        <v>42</v>
      </c>
      <c r="I19" s="3" t="s">
        <v>42</v>
      </c>
      <c r="J19" s="3">
        <v>18087</v>
      </c>
      <c r="K19" s="7">
        <f t="shared" si="0"/>
        <v>12673.92</v>
      </c>
      <c r="L19" s="7">
        <f t="shared" si="1"/>
        <v>5413.08</v>
      </c>
      <c r="M19" s="3">
        <v>2160</v>
      </c>
      <c r="N19" s="3">
        <v>2947</v>
      </c>
      <c r="O19" s="3">
        <v>116</v>
      </c>
      <c r="P19" s="3"/>
      <c r="Q19" s="3">
        <v>5864</v>
      </c>
      <c r="R19" s="3">
        <v>1040</v>
      </c>
      <c r="S19" s="9">
        <v>5960</v>
      </c>
      <c r="T19" s="8"/>
      <c r="U19" s="8"/>
      <c r="V19" s="8"/>
      <c r="W19" s="8"/>
      <c r="X19" s="8"/>
      <c r="Y19" s="8"/>
      <c r="Z19" s="3"/>
      <c r="AA19" s="3"/>
      <c r="AB19" s="12"/>
      <c r="AC19" s="14"/>
      <c r="AD19" s="14"/>
      <c r="AE19" s="14"/>
      <c r="AF19" s="7">
        <v>1345.04</v>
      </c>
      <c r="AG19" s="13">
        <v>336.26</v>
      </c>
      <c r="AH19" s="7">
        <v>672.52</v>
      </c>
      <c r="AI19" s="7" t="s">
        <v>43</v>
      </c>
      <c r="AJ19" s="16">
        <v>2935</v>
      </c>
      <c r="AK19" s="7">
        <v>124.26</v>
      </c>
    </row>
    <row r="20" spans="1:37">
      <c r="A20" s="2">
        <v>19</v>
      </c>
      <c r="B20" s="17" t="s">
        <v>63</v>
      </c>
      <c r="C20" s="3" t="s">
        <v>99</v>
      </c>
      <c r="D20" s="17" t="s">
        <v>100</v>
      </c>
      <c r="E20" s="3"/>
      <c r="F20" s="3" t="s">
        <v>76</v>
      </c>
      <c r="G20" s="3" t="s">
        <v>79</v>
      </c>
      <c r="H20" s="3" t="s">
        <v>42</v>
      </c>
      <c r="I20" s="3" t="s">
        <v>42</v>
      </c>
      <c r="J20" s="3">
        <v>17884</v>
      </c>
      <c r="K20" s="7">
        <f t="shared" si="0"/>
        <v>12673.43</v>
      </c>
      <c r="L20" s="7">
        <f t="shared" si="1"/>
        <v>5210.57</v>
      </c>
      <c r="M20" s="3">
        <v>2160</v>
      </c>
      <c r="N20" s="3">
        <v>2739</v>
      </c>
      <c r="O20" s="3">
        <v>116</v>
      </c>
      <c r="P20" s="3">
        <v>5</v>
      </c>
      <c r="Q20" s="3">
        <v>5864</v>
      </c>
      <c r="R20" s="3">
        <v>1040</v>
      </c>
      <c r="S20" s="9">
        <v>5960</v>
      </c>
      <c r="T20" s="8"/>
      <c r="U20" s="8"/>
      <c r="V20" s="8"/>
      <c r="W20" s="8"/>
      <c r="X20" s="8"/>
      <c r="Y20" s="8"/>
      <c r="Z20" s="3"/>
      <c r="AA20" s="3"/>
      <c r="AB20" s="12"/>
      <c r="AC20" s="14"/>
      <c r="AD20" s="14"/>
      <c r="AE20" s="14"/>
      <c r="AF20" s="7">
        <v>1329.68</v>
      </c>
      <c r="AG20" s="13">
        <v>332.42</v>
      </c>
      <c r="AH20" s="7">
        <v>664.84</v>
      </c>
      <c r="AI20" s="7" t="s">
        <v>43</v>
      </c>
      <c r="AJ20" s="16">
        <v>2775</v>
      </c>
      <c r="AK20" s="7">
        <v>108.63</v>
      </c>
    </row>
    <row r="21" spans="1:37">
      <c r="A21" s="2">
        <v>20</v>
      </c>
      <c r="B21" s="17" t="s">
        <v>70</v>
      </c>
      <c r="C21" s="3" t="s">
        <v>101</v>
      </c>
      <c r="D21" s="17" t="s">
        <v>102</v>
      </c>
      <c r="E21" s="3"/>
      <c r="F21" s="3" t="s">
        <v>76</v>
      </c>
      <c r="G21" s="3" t="s">
        <v>51</v>
      </c>
      <c r="H21" s="3" t="s">
        <v>42</v>
      </c>
      <c r="I21" s="3" t="s">
        <v>42</v>
      </c>
      <c r="J21" s="3">
        <v>15483</v>
      </c>
      <c r="K21" s="7">
        <f t="shared" si="0"/>
        <v>11024.02</v>
      </c>
      <c r="L21" s="7">
        <f t="shared" si="1"/>
        <v>4458.98</v>
      </c>
      <c r="M21" s="3">
        <v>1780</v>
      </c>
      <c r="N21" s="3">
        <v>2358</v>
      </c>
      <c r="O21" s="3">
        <v>116</v>
      </c>
      <c r="P21" s="3"/>
      <c r="Q21" s="3">
        <v>5529</v>
      </c>
      <c r="R21" s="3">
        <v>650</v>
      </c>
      <c r="S21" s="9">
        <v>5050</v>
      </c>
      <c r="T21" s="8"/>
      <c r="U21" s="8"/>
      <c r="V21" s="8"/>
      <c r="W21" s="8"/>
      <c r="X21" s="8"/>
      <c r="Y21" s="8"/>
      <c r="Z21" s="3"/>
      <c r="AA21" s="3"/>
      <c r="AB21" s="12"/>
      <c r="AC21" s="14"/>
      <c r="AD21" s="14"/>
      <c r="AE21" s="14"/>
      <c r="AF21" s="7">
        <v>1172</v>
      </c>
      <c r="AG21" s="13">
        <v>293</v>
      </c>
      <c r="AH21" s="7">
        <v>586</v>
      </c>
      <c r="AI21" s="7" t="s">
        <v>43</v>
      </c>
      <c r="AJ21" s="16">
        <v>2400</v>
      </c>
      <c r="AK21" s="7">
        <v>7.98</v>
      </c>
    </row>
    <row r="22" spans="1:37">
      <c r="A22" s="2">
        <v>21</v>
      </c>
      <c r="B22" s="17" t="s">
        <v>103</v>
      </c>
      <c r="C22" s="3" t="s">
        <v>104</v>
      </c>
      <c r="D22" s="17" t="s">
        <v>105</v>
      </c>
      <c r="E22" s="3"/>
      <c r="F22" s="3" t="s">
        <v>76</v>
      </c>
      <c r="G22" s="3" t="s">
        <v>51</v>
      </c>
      <c r="H22" s="3" t="s">
        <v>42</v>
      </c>
      <c r="I22" s="3" t="s">
        <v>42</v>
      </c>
      <c r="J22" s="3">
        <v>15352</v>
      </c>
      <c r="K22" s="7">
        <f t="shared" si="0"/>
        <v>10817.84</v>
      </c>
      <c r="L22" s="7">
        <f t="shared" si="1"/>
        <v>4534.16</v>
      </c>
      <c r="M22" s="3">
        <v>1780</v>
      </c>
      <c r="N22" s="3">
        <v>2227</v>
      </c>
      <c r="O22" s="3">
        <v>116</v>
      </c>
      <c r="P22" s="3"/>
      <c r="Q22" s="3">
        <v>5529</v>
      </c>
      <c r="R22" s="3">
        <v>650</v>
      </c>
      <c r="S22" s="9">
        <v>5050</v>
      </c>
      <c r="T22" s="8"/>
      <c r="U22" s="8"/>
      <c r="V22" s="8"/>
      <c r="W22" s="8"/>
      <c r="X22" s="8"/>
      <c r="Y22" s="8"/>
      <c r="Z22" s="3"/>
      <c r="AA22" s="3"/>
      <c r="AB22" s="12"/>
      <c r="AC22" s="14"/>
      <c r="AD22" s="14"/>
      <c r="AE22" s="14"/>
      <c r="AF22" s="7">
        <v>1162.24</v>
      </c>
      <c r="AG22" s="13">
        <v>290.56</v>
      </c>
      <c r="AH22" s="7">
        <v>581.12</v>
      </c>
      <c r="AI22" s="7" t="s">
        <v>43</v>
      </c>
      <c r="AJ22" s="16">
        <v>2344</v>
      </c>
      <c r="AK22" s="7">
        <v>156.24</v>
      </c>
    </row>
    <row r="23" spans="1:37">
      <c r="A23" s="2">
        <v>22</v>
      </c>
      <c r="B23" s="17" t="s">
        <v>106</v>
      </c>
      <c r="C23" s="3" t="s">
        <v>107</v>
      </c>
      <c r="D23" s="17" t="s">
        <v>108</v>
      </c>
      <c r="E23" s="3"/>
      <c r="F23" s="3" t="s">
        <v>76</v>
      </c>
      <c r="G23" s="3" t="s">
        <v>109</v>
      </c>
      <c r="H23" s="3" t="s">
        <v>42</v>
      </c>
      <c r="I23" s="3" t="s">
        <v>42</v>
      </c>
      <c r="J23" s="3">
        <v>14555</v>
      </c>
      <c r="K23" s="7">
        <f t="shared" si="0"/>
        <v>10190.27</v>
      </c>
      <c r="L23" s="7">
        <f t="shared" si="1"/>
        <v>4364.73</v>
      </c>
      <c r="M23" s="3">
        <v>1570</v>
      </c>
      <c r="N23" s="3">
        <v>1945</v>
      </c>
      <c r="O23" s="3">
        <v>116</v>
      </c>
      <c r="P23" s="3"/>
      <c r="Q23" s="3">
        <v>5444</v>
      </c>
      <c r="R23" s="3">
        <v>650</v>
      </c>
      <c r="S23" s="9">
        <v>4700</v>
      </c>
      <c r="T23" s="8"/>
      <c r="U23" s="8"/>
      <c r="V23" s="8"/>
      <c r="W23" s="8"/>
      <c r="X23" s="8"/>
      <c r="Y23" s="8"/>
      <c r="Z23" s="3">
        <v>130</v>
      </c>
      <c r="AA23" s="3"/>
      <c r="AB23" s="12"/>
      <c r="AC23" s="14"/>
      <c r="AD23" s="14"/>
      <c r="AE23" s="14"/>
      <c r="AF23" s="7">
        <v>1090.8</v>
      </c>
      <c r="AG23" s="13">
        <v>272.7</v>
      </c>
      <c r="AH23" s="7">
        <v>545.4</v>
      </c>
      <c r="AI23" s="7" t="s">
        <v>43</v>
      </c>
      <c r="AJ23" s="16">
        <v>2319</v>
      </c>
      <c r="AK23" s="7">
        <v>136.83</v>
      </c>
    </row>
    <row r="24" spans="1:37">
      <c r="A24" s="2">
        <v>23</v>
      </c>
      <c r="B24" s="17" t="s">
        <v>110</v>
      </c>
      <c r="C24" s="3" t="s">
        <v>111</v>
      </c>
      <c r="D24" s="17" t="s">
        <v>112</v>
      </c>
      <c r="E24" s="3"/>
      <c r="F24" s="3" t="s">
        <v>50</v>
      </c>
      <c r="G24" s="3" t="s">
        <v>79</v>
      </c>
      <c r="H24" s="3" t="s">
        <v>42</v>
      </c>
      <c r="I24" s="3" t="s">
        <v>42</v>
      </c>
      <c r="J24" s="3">
        <v>18185</v>
      </c>
      <c r="K24" s="7">
        <f t="shared" si="0"/>
        <v>12905.74</v>
      </c>
      <c r="L24" s="7">
        <f t="shared" si="1"/>
        <v>5279.26</v>
      </c>
      <c r="M24" s="3">
        <v>2160</v>
      </c>
      <c r="N24" s="3">
        <v>3045</v>
      </c>
      <c r="O24" s="3">
        <v>116</v>
      </c>
      <c r="P24" s="3"/>
      <c r="Q24" s="3">
        <v>5864</v>
      </c>
      <c r="R24" s="3">
        <v>1040</v>
      </c>
      <c r="S24" s="9">
        <v>5960</v>
      </c>
      <c r="T24" s="8"/>
      <c r="U24" s="8"/>
      <c r="V24" s="8"/>
      <c r="W24" s="8"/>
      <c r="X24" s="8"/>
      <c r="Y24" s="8"/>
      <c r="Z24" s="3"/>
      <c r="AA24" s="3"/>
      <c r="AB24" s="12"/>
      <c r="AC24" s="14"/>
      <c r="AD24" s="14"/>
      <c r="AE24" s="14"/>
      <c r="AF24" s="7">
        <v>1352.72</v>
      </c>
      <c r="AG24" s="13">
        <v>338.18</v>
      </c>
      <c r="AH24" s="7">
        <v>676.36</v>
      </c>
      <c r="AI24" s="7" t="s">
        <v>43</v>
      </c>
      <c r="AJ24" s="16">
        <v>2912</v>
      </c>
      <c r="AK24" s="7">
        <v>0</v>
      </c>
    </row>
    <row r="25" spans="1:37">
      <c r="A25" s="2">
        <v>24</v>
      </c>
      <c r="B25" s="17" t="s">
        <v>113</v>
      </c>
      <c r="C25" s="3" t="s">
        <v>114</v>
      </c>
      <c r="D25" s="17" t="s">
        <v>115</v>
      </c>
      <c r="E25" s="3"/>
      <c r="F25" s="3" t="s">
        <v>76</v>
      </c>
      <c r="G25" s="3" t="s">
        <v>41</v>
      </c>
      <c r="H25" s="3" t="s">
        <v>42</v>
      </c>
      <c r="I25" s="3" t="s">
        <v>42</v>
      </c>
      <c r="J25" s="3">
        <v>22463</v>
      </c>
      <c r="K25" s="7">
        <f t="shared" si="0"/>
        <v>15260.07</v>
      </c>
      <c r="L25" s="7">
        <f t="shared" si="1"/>
        <v>7202.93</v>
      </c>
      <c r="M25" s="3">
        <v>2770</v>
      </c>
      <c r="N25" s="3">
        <v>3401</v>
      </c>
      <c r="O25" s="3">
        <v>116</v>
      </c>
      <c r="P25" s="3">
        <v>5</v>
      </c>
      <c r="Q25" s="3">
        <v>7951</v>
      </c>
      <c r="R25" s="3">
        <v>1040</v>
      </c>
      <c r="S25" s="9">
        <v>7180</v>
      </c>
      <c r="T25" s="8"/>
      <c r="U25" s="8"/>
      <c r="V25" s="8"/>
      <c r="W25" s="8"/>
      <c r="X25" s="8"/>
      <c r="Y25" s="8"/>
      <c r="Z25" s="3"/>
      <c r="AA25" s="3"/>
      <c r="AB25" s="12"/>
      <c r="AC25" s="14"/>
      <c r="AD25" s="14"/>
      <c r="AE25" s="14"/>
      <c r="AF25" s="7">
        <v>1618.24</v>
      </c>
      <c r="AG25" s="13">
        <v>404.56</v>
      </c>
      <c r="AH25" s="7">
        <v>809.12</v>
      </c>
      <c r="AI25" s="7" t="s">
        <v>43</v>
      </c>
      <c r="AJ25" s="16">
        <v>3360</v>
      </c>
      <c r="AK25" s="7">
        <v>1011.01</v>
      </c>
    </row>
    <row r="26" spans="1:37">
      <c r="A26" s="2">
        <v>25</v>
      </c>
      <c r="B26" s="17" t="s">
        <v>116</v>
      </c>
      <c r="C26" s="3" t="s">
        <v>117</v>
      </c>
      <c r="D26" s="17" t="s">
        <v>118</v>
      </c>
      <c r="E26" s="3"/>
      <c r="F26" s="3" t="s">
        <v>76</v>
      </c>
      <c r="G26" s="3" t="s">
        <v>119</v>
      </c>
      <c r="H26" s="3" t="s">
        <v>42</v>
      </c>
      <c r="I26" s="3" t="s">
        <v>42</v>
      </c>
      <c r="J26" s="3">
        <v>13870</v>
      </c>
      <c r="K26" s="7">
        <f t="shared" si="0"/>
        <v>9774.78</v>
      </c>
      <c r="L26" s="7">
        <f t="shared" si="1"/>
        <v>4095.22</v>
      </c>
      <c r="M26" s="3">
        <v>1410</v>
      </c>
      <c r="N26" s="3">
        <v>1806</v>
      </c>
      <c r="O26" s="3">
        <v>116</v>
      </c>
      <c r="P26" s="3"/>
      <c r="Q26" s="3">
        <v>5438</v>
      </c>
      <c r="R26" s="3">
        <v>650</v>
      </c>
      <c r="S26" s="9">
        <v>4450</v>
      </c>
      <c r="T26" s="8"/>
      <c r="U26" s="8"/>
      <c r="V26" s="8"/>
      <c r="W26" s="8"/>
      <c r="X26" s="8"/>
      <c r="Y26" s="8"/>
      <c r="Z26" s="3"/>
      <c r="AA26" s="3"/>
      <c r="AB26" s="12"/>
      <c r="AC26" s="14"/>
      <c r="AD26" s="14"/>
      <c r="AE26" s="14"/>
      <c r="AF26" s="7">
        <v>1037.28</v>
      </c>
      <c r="AG26" s="13">
        <v>259.32</v>
      </c>
      <c r="AH26" s="7">
        <v>518.64</v>
      </c>
      <c r="AI26" s="7" t="s">
        <v>43</v>
      </c>
      <c r="AJ26" s="16">
        <v>2156</v>
      </c>
      <c r="AK26" s="7">
        <v>123.98</v>
      </c>
    </row>
    <row r="27" spans="1:37">
      <c r="A27" s="2">
        <v>26</v>
      </c>
      <c r="B27" s="17" t="s">
        <v>120</v>
      </c>
      <c r="C27" s="3" t="s">
        <v>121</v>
      </c>
      <c r="D27" s="17" t="s">
        <v>122</v>
      </c>
      <c r="E27" s="3"/>
      <c r="F27" s="3" t="s">
        <v>50</v>
      </c>
      <c r="G27" s="3" t="s">
        <v>123</v>
      </c>
      <c r="H27" s="3" t="s">
        <v>42</v>
      </c>
      <c r="I27" s="3" t="s">
        <v>42</v>
      </c>
      <c r="J27" s="3">
        <v>14293</v>
      </c>
      <c r="K27" s="7">
        <f t="shared" si="0"/>
        <v>11120.21</v>
      </c>
      <c r="L27" s="7">
        <f t="shared" si="1"/>
        <v>3172.79</v>
      </c>
      <c r="M27" s="3">
        <v>1270</v>
      </c>
      <c r="N27" s="3">
        <v>1676</v>
      </c>
      <c r="O27" s="3">
        <v>116</v>
      </c>
      <c r="P27" s="3"/>
      <c r="Q27" s="3">
        <v>5431</v>
      </c>
      <c r="R27" s="3">
        <v>650</v>
      </c>
      <c r="S27" s="9">
        <v>4400</v>
      </c>
      <c r="T27" s="8"/>
      <c r="U27" s="8"/>
      <c r="V27" s="8"/>
      <c r="W27" s="8"/>
      <c r="X27" s="8"/>
      <c r="Y27" s="8"/>
      <c r="Z27" s="3"/>
      <c r="AA27" s="3">
        <v>750</v>
      </c>
      <c r="AB27" s="12"/>
      <c r="AC27" s="14"/>
      <c r="AD27" s="14"/>
      <c r="AE27" s="14"/>
      <c r="AF27" s="7">
        <v>876.64</v>
      </c>
      <c r="AG27" s="13">
        <v>219.16</v>
      </c>
      <c r="AH27" s="7">
        <v>438.32</v>
      </c>
      <c r="AI27" s="7"/>
      <c r="AJ27" s="16">
        <v>1504</v>
      </c>
      <c r="AK27" s="7">
        <v>134.67</v>
      </c>
    </row>
    <row r="28" spans="1:37">
      <c r="A28" s="2">
        <v>27</v>
      </c>
      <c r="B28" s="17" t="s">
        <v>124</v>
      </c>
      <c r="C28" s="4" t="s">
        <v>125</v>
      </c>
      <c r="D28" s="18" t="s">
        <v>126</v>
      </c>
      <c r="E28" s="4"/>
      <c r="F28" s="4" t="s">
        <v>76</v>
      </c>
      <c r="G28" s="4" t="s">
        <v>119</v>
      </c>
      <c r="H28" s="3" t="s">
        <v>42</v>
      </c>
      <c r="I28" s="3" t="s">
        <v>42</v>
      </c>
      <c r="J28" s="3">
        <v>14470</v>
      </c>
      <c r="K28" s="7">
        <f t="shared" si="0"/>
        <v>10461.05</v>
      </c>
      <c r="L28" s="7">
        <f t="shared" si="1"/>
        <v>4008.95</v>
      </c>
      <c r="M28" s="3">
        <v>1410</v>
      </c>
      <c r="N28" s="3">
        <v>1806</v>
      </c>
      <c r="O28" s="3">
        <v>116</v>
      </c>
      <c r="P28" s="3"/>
      <c r="Q28" s="3">
        <v>5438</v>
      </c>
      <c r="R28" s="3">
        <v>650</v>
      </c>
      <c r="S28" s="9">
        <v>4450</v>
      </c>
      <c r="T28" s="8"/>
      <c r="U28" s="8"/>
      <c r="V28" s="8"/>
      <c r="W28" s="8"/>
      <c r="X28" s="8"/>
      <c r="Y28" s="8"/>
      <c r="Z28" s="3"/>
      <c r="AA28" s="3">
        <v>600</v>
      </c>
      <c r="AB28" s="12"/>
      <c r="AC28" s="4"/>
      <c r="AD28" s="4"/>
      <c r="AE28" s="4"/>
      <c r="AF28" s="7">
        <v>1023.28</v>
      </c>
      <c r="AG28" s="13">
        <v>255.82</v>
      </c>
      <c r="AH28" s="7">
        <v>511.64</v>
      </c>
      <c r="AI28" s="7"/>
      <c r="AJ28" s="16">
        <v>2073</v>
      </c>
      <c r="AK28" s="7">
        <v>145.21</v>
      </c>
    </row>
    <row r="29" spans="1:37">
      <c r="A29" s="2">
        <v>28</v>
      </c>
      <c r="B29" s="17" t="s">
        <v>127</v>
      </c>
      <c r="C29" s="4" t="s">
        <v>128</v>
      </c>
      <c r="D29" s="18" t="s">
        <v>129</v>
      </c>
      <c r="E29" s="4"/>
      <c r="F29" s="4" t="s">
        <v>76</v>
      </c>
      <c r="G29" s="4" t="s">
        <v>119</v>
      </c>
      <c r="H29" s="3" t="s">
        <v>42</v>
      </c>
      <c r="I29" s="3" t="s">
        <v>42</v>
      </c>
      <c r="J29" s="3">
        <v>13870</v>
      </c>
      <c r="K29" s="7">
        <f t="shared" si="0"/>
        <v>9731.76</v>
      </c>
      <c r="L29" s="7">
        <f t="shared" si="1"/>
        <v>4138.24</v>
      </c>
      <c r="M29" s="3">
        <v>1410</v>
      </c>
      <c r="N29" s="3">
        <v>1806</v>
      </c>
      <c r="O29" s="3">
        <v>116</v>
      </c>
      <c r="P29" s="3"/>
      <c r="Q29" s="3">
        <v>5438</v>
      </c>
      <c r="R29" s="3">
        <v>650</v>
      </c>
      <c r="S29" s="9">
        <v>4450</v>
      </c>
      <c r="T29" s="8"/>
      <c r="U29" s="8"/>
      <c r="V29" s="8"/>
      <c r="W29" s="8"/>
      <c r="X29" s="8"/>
      <c r="Y29" s="8"/>
      <c r="Z29" s="3"/>
      <c r="AA29" s="6"/>
      <c r="AB29" s="12"/>
      <c r="AC29" s="4"/>
      <c r="AD29" s="4"/>
      <c r="AE29" s="4"/>
      <c r="AF29" s="7">
        <v>1047.76</v>
      </c>
      <c r="AG29" s="13">
        <v>261.94</v>
      </c>
      <c r="AH29" s="7">
        <v>523.88</v>
      </c>
      <c r="AI29" s="7"/>
      <c r="AJ29" s="16">
        <v>2182</v>
      </c>
      <c r="AK29" s="7">
        <v>122.66</v>
      </c>
    </row>
    <row r="30" spans="1:37">
      <c r="A30" s="2">
        <v>29</v>
      </c>
      <c r="B30" s="17" t="s">
        <v>130</v>
      </c>
      <c r="C30" s="4" t="s">
        <v>131</v>
      </c>
      <c r="D30" s="18" t="s">
        <v>132</v>
      </c>
      <c r="E30" s="4"/>
      <c r="F30" s="4" t="s">
        <v>76</v>
      </c>
      <c r="G30" s="4" t="s">
        <v>109</v>
      </c>
      <c r="H30" s="3" t="s">
        <v>42</v>
      </c>
      <c r="I30" s="3" t="s">
        <v>42</v>
      </c>
      <c r="J30" s="3">
        <v>14425</v>
      </c>
      <c r="K30" s="7">
        <f t="shared" si="0"/>
        <v>10216.76</v>
      </c>
      <c r="L30" s="7">
        <f t="shared" si="1"/>
        <v>4208.24</v>
      </c>
      <c r="M30" s="3">
        <v>1570</v>
      </c>
      <c r="N30" s="3">
        <v>1945</v>
      </c>
      <c r="O30" s="3">
        <v>116</v>
      </c>
      <c r="P30" s="3"/>
      <c r="Q30" s="3">
        <v>5444</v>
      </c>
      <c r="R30" s="3">
        <v>650</v>
      </c>
      <c r="S30" s="9">
        <v>4700</v>
      </c>
      <c r="T30" s="8"/>
      <c r="U30" s="8"/>
      <c r="V30" s="8"/>
      <c r="W30" s="8"/>
      <c r="X30" s="8"/>
      <c r="Y30" s="8"/>
      <c r="Z30" s="3"/>
      <c r="AA30" s="6"/>
      <c r="AB30" s="12"/>
      <c r="AC30" s="4"/>
      <c r="AD30" s="4"/>
      <c r="AE30" s="4"/>
      <c r="AF30" s="7">
        <v>1047.76</v>
      </c>
      <c r="AG30" s="13">
        <v>261.94</v>
      </c>
      <c r="AH30" s="7">
        <v>523.88</v>
      </c>
      <c r="AI30" s="7"/>
      <c r="AJ30" s="16">
        <v>2237</v>
      </c>
      <c r="AK30" s="7">
        <v>137.66</v>
      </c>
    </row>
    <row r="31" spans="1:37">
      <c r="A31" s="2">
        <v>30</v>
      </c>
      <c r="B31" s="17" t="s">
        <v>133</v>
      </c>
      <c r="C31" s="4" t="s">
        <v>134</v>
      </c>
      <c r="D31" s="18" t="s">
        <v>135</v>
      </c>
      <c r="E31" s="4"/>
      <c r="F31" s="4" t="s">
        <v>76</v>
      </c>
      <c r="G31" s="4" t="s">
        <v>109</v>
      </c>
      <c r="H31" s="3" t="s">
        <v>42</v>
      </c>
      <c r="I31" s="3" t="s">
        <v>42</v>
      </c>
      <c r="J31" s="3">
        <v>14425</v>
      </c>
      <c r="K31" s="7">
        <f t="shared" si="0"/>
        <v>10166.32</v>
      </c>
      <c r="L31" s="7">
        <f t="shared" si="1"/>
        <v>4258.68</v>
      </c>
      <c r="M31" s="3">
        <v>1570</v>
      </c>
      <c r="N31" s="3">
        <v>1945</v>
      </c>
      <c r="O31" s="3">
        <v>116</v>
      </c>
      <c r="P31" s="3"/>
      <c r="Q31" s="3">
        <v>5444</v>
      </c>
      <c r="R31" s="3">
        <v>650</v>
      </c>
      <c r="S31" s="9">
        <v>4700</v>
      </c>
      <c r="T31" s="8"/>
      <c r="U31" s="8"/>
      <c r="V31" s="8"/>
      <c r="W31" s="8"/>
      <c r="X31" s="8"/>
      <c r="Y31" s="8"/>
      <c r="Z31" s="3"/>
      <c r="AA31" s="6"/>
      <c r="AB31" s="12"/>
      <c r="AC31" s="4"/>
      <c r="AD31" s="4"/>
      <c r="AE31" s="4"/>
      <c r="AF31" s="7">
        <v>1047.76</v>
      </c>
      <c r="AG31" s="13">
        <v>261.94</v>
      </c>
      <c r="AH31" s="7">
        <v>523.88</v>
      </c>
      <c r="AI31" s="7"/>
      <c r="AJ31" s="16">
        <v>2289</v>
      </c>
      <c r="AK31" s="7">
        <v>136.1</v>
      </c>
    </row>
    <row r="32" spans="1:37">
      <c r="A32" s="2">
        <v>31</v>
      </c>
      <c r="B32" s="17" t="s">
        <v>136</v>
      </c>
      <c r="C32" s="4" t="s">
        <v>137</v>
      </c>
      <c r="D32" s="18" t="s">
        <v>138</v>
      </c>
      <c r="E32" s="4"/>
      <c r="F32" s="4" t="s">
        <v>76</v>
      </c>
      <c r="G32" s="4" t="s">
        <v>109</v>
      </c>
      <c r="H32" s="3" t="s">
        <v>42</v>
      </c>
      <c r="I32" s="3" t="s">
        <v>42</v>
      </c>
      <c r="J32" s="3">
        <v>14707</v>
      </c>
      <c r="K32" s="7">
        <f t="shared" si="0"/>
        <v>10296.17</v>
      </c>
      <c r="L32" s="7">
        <f t="shared" si="1"/>
        <v>4410.83</v>
      </c>
      <c r="M32" s="3">
        <v>1570</v>
      </c>
      <c r="N32" s="3">
        <v>2227</v>
      </c>
      <c r="O32" s="3">
        <v>116</v>
      </c>
      <c r="P32" s="3"/>
      <c r="Q32" s="3">
        <v>5444</v>
      </c>
      <c r="R32" s="3">
        <v>650</v>
      </c>
      <c r="S32" s="9">
        <v>4700</v>
      </c>
      <c r="T32" s="8"/>
      <c r="U32" s="8"/>
      <c r="V32" s="8"/>
      <c r="W32" s="8"/>
      <c r="X32" s="8"/>
      <c r="Y32" s="8"/>
      <c r="Z32" s="3"/>
      <c r="AA32" s="6"/>
      <c r="AB32" s="12"/>
      <c r="AC32" s="14"/>
      <c r="AD32" s="14"/>
      <c r="AE32" s="14"/>
      <c r="AF32" s="7">
        <v>1111.84</v>
      </c>
      <c r="AG32" s="13">
        <v>277.96</v>
      </c>
      <c r="AH32" s="7">
        <v>555.92</v>
      </c>
      <c r="AI32" s="7"/>
      <c r="AJ32" s="16">
        <v>2325</v>
      </c>
      <c r="AK32" s="7">
        <v>140.11</v>
      </c>
    </row>
    <row r="33" spans="1:37">
      <c r="A33" s="2">
        <v>32</v>
      </c>
      <c r="B33" s="17" t="s">
        <v>139</v>
      </c>
      <c r="C33" s="4" t="s">
        <v>140</v>
      </c>
      <c r="D33" s="18" t="s">
        <v>141</v>
      </c>
      <c r="E33" s="4"/>
      <c r="F33" s="4" t="s">
        <v>76</v>
      </c>
      <c r="G33" s="4" t="s">
        <v>41</v>
      </c>
      <c r="H33" s="3" t="s">
        <v>42</v>
      </c>
      <c r="I33" s="3" t="s">
        <v>42</v>
      </c>
      <c r="J33" s="3">
        <v>20247</v>
      </c>
      <c r="K33" s="7">
        <f t="shared" si="0"/>
        <v>14396.09</v>
      </c>
      <c r="L33" s="7">
        <f t="shared" si="1"/>
        <v>5850.91</v>
      </c>
      <c r="M33" s="3">
        <v>2770</v>
      </c>
      <c r="N33" s="3">
        <v>2783</v>
      </c>
      <c r="O33" s="3">
        <v>116</v>
      </c>
      <c r="P33" s="3"/>
      <c r="Q33" s="3">
        <v>6618</v>
      </c>
      <c r="R33" s="3">
        <v>1040</v>
      </c>
      <c r="S33" s="9">
        <v>6920</v>
      </c>
      <c r="T33" s="8"/>
      <c r="U33" s="8"/>
      <c r="V33" s="8"/>
      <c r="W33" s="8"/>
      <c r="X33" s="8"/>
      <c r="Y33" s="8"/>
      <c r="Z33" s="3"/>
      <c r="AA33" s="6"/>
      <c r="AB33" s="12"/>
      <c r="AC33" s="14"/>
      <c r="AD33" s="14"/>
      <c r="AE33" s="14"/>
      <c r="AF33" s="7">
        <v>1450.32</v>
      </c>
      <c r="AG33" s="13">
        <v>362.58</v>
      </c>
      <c r="AH33" s="7">
        <v>725.16</v>
      </c>
      <c r="AI33" s="7"/>
      <c r="AJ33" s="16">
        <v>3058</v>
      </c>
      <c r="AK33" s="7">
        <v>254.85</v>
      </c>
    </row>
    <row r="34" spans="1:37">
      <c r="A34" s="2">
        <v>33</v>
      </c>
      <c r="B34" s="17" t="s">
        <v>142</v>
      </c>
      <c r="C34" s="4" t="s">
        <v>143</v>
      </c>
      <c r="D34" s="18" t="s">
        <v>144</v>
      </c>
      <c r="E34" s="4"/>
      <c r="F34" s="4" t="s">
        <v>76</v>
      </c>
      <c r="G34" s="4" t="s">
        <v>123</v>
      </c>
      <c r="H34" s="3" t="s">
        <v>42</v>
      </c>
      <c r="I34" s="3" t="s">
        <v>42</v>
      </c>
      <c r="J34" s="3">
        <v>13543</v>
      </c>
      <c r="K34" s="7">
        <f t="shared" si="0"/>
        <v>9631.7</v>
      </c>
      <c r="L34" s="7">
        <f t="shared" si="1"/>
        <v>3911.3</v>
      </c>
      <c r="M34" s="3">
        <v>1270</v>
      </c>
      <c r="N34" s="3">
        <v>1676</v>
      </c>
      <c r="O34" s="3">
        <v>116</v>
      </c>
      <c r="P34" s="3"/>
      <c r="Q34" s="3">
        <v>5431</v>
      </c>
      <c r="R34" s="3">
        <v>650</v>
      </c>
      <c r="S34" s="9">
        <v>4400</v>
      </c>
      <c r="T34" s="8"/>
      <c r="U34" s="8"/>
      <c r="V34" s="8"/>
      <c r="W34" s="8"/>
      <c r="X34" s="8"/>
      <c r="Y34" s="8"/>
      <c r="Z34" s="3"/>
      <c r="AA34" s="6"/>
      <c r="AB34" s="12"/>
      <c r="AC34" s="14"/>
      <c r="AD34" s="14"/>
      <c r="AE34" s="14"/>
      <c r="AF34" s="7">
        <v>1023.28</v>
      </c>
      <c r="AG34" s="13">
        <v>255.82</v>
      </c>
      <c r="AH34" s="7">
        <v>511.64</v>
      </c>
      <c r="AI34" s="7"/>
      <c r="AJ34" s="16">
        <v>2001</v>
      </c>
      <c r="AK34" s="7">
        <v>119.56</v>
      </c>
    </row>
    <row r="35" spans="1:37">
      <c r="A35" s="2">
        <v>34</v>
      </c>
      <c r="B35" s="17" t="s">
        <v>145</v>
      </c>
      <c r="C35" s="4" t="s">
        <v>146</v>
      </c>
      <c r="D35" s="18" t="s">
        <v>147</v>
      </c>
      <c r="E35" s="4"/>
      <c r="F35" s="4" t="s">
        <v>76</v>
      </c>
      <c r="G35" s="4" t="s">
        <v>51</v>
      </c>
      <c r="H35" s="3" t="s">
        <v>42</v>
      </c>
      <c r="I35" s="3" t="s">
        <v>42</v>
      </c>
      <c r="J35" s="3">
        <v>15221</v>
      </c>
      <c r="K35" s="7">
        <f t="shared" ref="K35:K52" si="2">J35-L35</f>
        <v>10835.3</v>
      </c>
      <c r="L35" s="7">
        <f t="shared" ref="L35:L52" si="3">SUM(AF35:AK35)</f>
        <v>4385.7</v>
      </c>
      <c r="M35" s="3">
        <v>1780</v>
      </c>
      <c r="N35" s="3">
        <v>2096</v>
      </c>
      <c r="O35" s="3">
        <v>116</v>
      </c>
      <c r="P35" s="3"/>
      <c r="Q35" s="3">
        <v>5529</v>
      </c>
      <c r="R35" s="3">
        <v>650</v>
      </c>
      <c r="S35" s="9">
        <v>5050</v>
      </c>
      <c r="T35" s="8"/>
      <c r="U35" s="8"/>
      <c r="V35" s="8"/>
      <c r="W35" s="8"/>
      <c r="X35" s="8"/>
      <c r="Y35" s="8"/>
      <c r="Z35" s="3"/>
      <c r="AA35" s="6"/>
      <c r="AB35" s="12"/>
      <c r="AC35" s="14"/>
      <c r="AD35" s="14"/>
      <c r="AE35" s="14"/>
      <c r="AF35" s="7">
        <v>1152.4</v>
      </c>
      <c r="AG35" s="13">
        <v>288.1</v>
      </c>
      <c r="AH35" s="7">
        <v>576.2</v>
      </c>
      <c r="AI35" s="7"/>
      <c r="AJ35" s="16">
        <v>2369</v>
      </c>
      <c r="AK35" s="7">
        <v>0</v>
      </c>
    </row>
    <row r="36" spans="1:37">
      <c r="A36" s="2">
        <v>35</v>
      </c>
      <c r="B36" s="17" t="s">
        <v>148</v>
      </c>
      <c r="C36" s="4" t="s">
        <v>149</v>
      </c>
      <c r="D36" s="18" t="s">
        <v>150</v>
      </c>
      <c r="E36" s="4"/>
      <c r="F36" s="4" t="s">
        <v>76</v>
      </c>
      <c r="G36" s="4" t="s">
        <v>109</v>
      </c>
      <c r="H36" s="3" t="s">
        <v>42</v>
      </c>
      <c r="I36" s="3" t="s">
        <v>42</v>
      </c>
      <c r="J36" s="3">
        <v>14425</v>
      </c>
      <c r="K36" s="7">
        <f t="shared" si="2"/>
        <v>10155.01</v>
      </c>
      <c r="L36" s="7">
        <f t="shared" si="3"/>
        <v>4269.99</v>
      </c>
      <c r="M36" s="3">
        <v>1570</v>
      </c>
      <c r="N36" s="3">
        <v>1945</v>
      </c>
      <c r="O36" s="3">
        <v>116</v>
      </c>
      <c r="P36" s="3"/>
      <c r="Q36" s="3">
        <v>5444</v>
      </c>
      <c r="R36" s="3">
        <v>650</v>
      </c>
      <c r="S36" s="9">
        <v>4700</v>
      </c>
      <c r="T36" s="8"/>
      <c r="U36" s="8"/>
      <c r="V36" s="8"/>
      <c r="W36" s="8"/>
      <c r="X36" s="8"/>
      <c r="Y36" s="8"/>
      <c r="Z36" s="3"/>
      <c r="AA36" s="6"/>
      <c r="AB36" s="12"/>
      <c r="AC36" s="14"/>
      <c r="AD36" s="14"/>
      <c r="AE36" s="14"/>
      <c r="AF36" s="7">
        <v>1069.28</v>
      </c>
      <c r="AG36" s="13">
        <v>267.32</v>
      </c>
      <c r="AH36" s="7">
        <v>534.64</v>
      </c>
      <c r="AI36" s="7"/>
      <c r="AJ36" s="16">
        <v>2263</v>
      </c>
      <c r="AK36" s="7">
        <v>135.75</v>
      </c>
    </row>
    <row r="37" spans="1:37">
      <c r="A37" s="2">
        <v>36</v>
      </c>
      <c r="B37" s="17" t="s">
        <v>151</v>
      </c>
      <c r="C37" s="4" t="s">
        <v>152</v>
      </c>
      <c r="D37" s="18" t="s">
        <v>153</v>
      </c>
      <c r="E37" s="4"/>
      <c r="F37" s="4" t="s">
        <v>76</v>
      </c>
      <c r="G37" s="4" t="s">
        <v>109</v>
      </c>
      <c r="H37" s="3" t="s">
        <v>42</v>
      </c>
      <c r="I37" s="3" t="s">
        <v>42</v>
      </c>
      <c r="J37" s="3">
        <v>16420</v>
      </c>
      <c r="K37" s="7">
        <f t="shared" si="2"/>
        <v>12197.92</v>
      </c>
      <c r="L37" s="7">
        <f t="shared" si="3"/>
        <v>4222.08</v>
      </c>
      <c r="M37" s="3">
        <v>1780</v>
      </c>
      <c r="N37" s="3">
        <v>1965</v>
      </c>
      <c r="O37" s="3">
        <v>116</v>
      </c>
      <c r="P37" s="3"/>
      <c r="Q37" s="3">
        <v>5529</v>
      </c>
      <c r="R37" s="3">
        <v>650</v>
      </c>
      <c r="S37" s="9">
        <v>5050</v>
      </c>
      <c r="T37" s="8"/>
      <c r="U37" s="8"/>
      <c r="V37" s="8"/>
      <c r="W37" s="8"/>
      <c r="X37" s="8"/>
      <c r="Y37" s="8"/>
      <c r="Z37" s="3"/>
      <c r="AA37" s="6"/>
      <c r="AB37" s="12"/>
      <c r="AC37" s="14"/>
      <c r="AD37" s="14"/>
      <c r="AE37" s="14"/>
      <c r="AF37" s="7">
        <v>1090.08</v>
      </c>
      <c r="AG37" s="13">
        <v>272.52</v>
      </c>
      <c r="AH37" s="7">
        <v>545.04</v>
      </c>
      <c r="AI37" s="7"/>
      <c r="AJ37" s="16">
        <v>2270</v>
      </c>
      <c r="AK37" s="7">
        <v>44.44</v>
      </c>
    </row>
    <row r="38" spans="1:37">
      <c r="A38" s="2">
        <v>37</v>
      </c>
      <c r="B38" s="17" t="s">
        <v>154</v>
      </c>
      <c r="C38" s="4" t="s">
        <v>155</v>
      </c>
      <c r="D38" s="18" t="s">
        <v>156</v>
      </c>
      <c r="E38" s="4"/>
      <c r="F38" s="4" t="s">
        <v>76</v>
      </c>
      <c r="G38" s="4" t="s">
        <v>51</v>
      </c>
      <c r="H38" s="3" t="s">
        <v>42</v>
      </c>
      <c r="I38" s="3" t="s">
        <v>42</v>
      </c>
      <c r="J38" s="3">
        <v>15221</v>
      </c>
      <c r="K38" s="7">
        <f t="shared" si="2"/>
        <v>10844.22</v>
      </c>
      <c r="L38" s="7">
        <f t="shared" si="3"/>
        <v>4376.78</v>
      </c>
      <c r="M38" s="3">
        <v>1780</v>
      </c>
      <c r="N38" s="3">
        <v>2096</v>
      </c>
      <c r="O38" s="3">
        <v>116</v>
      </c>
      <c r="P38" s="3"/>
      <c r="Q38" s="3">
        <v>5529</v>
      </c>
      <c r="R38" s="3">
        <v>650</v>
      </c>
      <c r="S38" s="10">
        <v>5050</v>
      </c>
      <c r="T38" s="8"/>
      <c r="U38" s="8"/>
      <c r="V38" s="8"/>
      <c r="W38" s="8"/>
      <c r="X38" s="8"/>
      <c r="Y38" s="8"/>
      <c r="Z38" s="3"/>
      <c r="AA38" s="6"/>
      <c r="AB38" s="12"/>
      <c r="AC38" s="14"/>
      <c r="AD38" s="14"/>
      <c r="AE38" s="14"/>
      <c r="AF38" s="7">
        <v>1151.68</v>
      </c>
      <c r="AG38" s="13">
        <v>287.92</v>
      </c>
      <c r="AH38" s="7">
        <v>575.84</v>
      </c>
      <c r="AI38" s="7"/>
      <c r="AJ38" s="16">
        <v>2328</v>
      </c>
      <c r="AK38" s="7">
        <v>33.34</v>
      </c>
    </row>
    <row r="39" spans="1:37">
      <c r="A39" s="2">
        <v>38</v>
      </c>
      <c r="B39" s="3" t="s">
        <v>73</v>
      </c>
      <c r="C39" s="4" t="s">
        <v>157</v>
      </c>
      <c r="D39" s="18" t="s">
        <v>158</v>
      </c>
      <c r="E39" s="4"/>
      <c r="F39" s="4" t="s">
        <v>159</v>
      </c>
      <c r="G39" s="4" t="s">
        <v>160</v>
      </c>
      <c r="H39" s="3" t="s">
        <v>42</v>
      </c>
      <c r="I39" s="3" t="s">
        <v>42</v>
      </c>
      <c r="J39" s="6">
        <v>13943</v>
      </c>
      <c r="K39" s="7">
        <f t="shared" si="2"/>
        <v>9740.23</v>
      </c>
      <c r="L39" s="7">
        <f t="shared" si="3"/>
        <v>4202.77</v>
      </c>
      <c r="M39" s="6"/>
      <c r="N39" s="6"/>
      <c r="O39" s="6">
        <v>116</v>
      </c>
      <c r="P39" s="6">
        <v>5</v>
      </c>
      <c r="Q39" s="6"/>
      <c r="R39" s="6"/>
      <c r="S39" s="6">
        <v>4700</v>
      </c>
      <c r="T39" s="6">
        <v>2260</v>
      </c>
      <c r="U39" s="6">
        <v>1383</v>
      </c>
      <c r="V39" s="6"/>
      <c r="W39" s="3">
        <v>3152</v>
      </c>
      <c r="X39" s="6">
        <v>2327</v>
      </c>
      <c r="Y39" s="6"/>
      <c r="Z39" s="6"/>
      <c r="AA39" s="6"/>
      <c r="AB39" s="12"/>
      <c r="AC39" s="14"/>
      <c r="AD39" s="14"/>
      <c r="AE39" s="14"/>
      <c r="AF39" s="7">
        <v>1058.16</v>
      </c>
      <c r="AG39" s="13">
        <v>264.54</v>
      </c>
      <c r="AH39" s="7">
        <v>529.08</v>
      </c>
      <c r="AI39" s="7">
        <v>52.91</v>
      </c>
      <c r="AJ39" s="16">
        <v>2248</v>
      </c>
      <c r="AK39" s="7">
        <v>50.08</v>
      </c>
    </row>
    <row r="40" ht="15" spans="1:37">
      <c r="A40" s="2">
        <v>39</v>
      </c>
      <c r="B40" s="3" t="s">
        <v>37</v>
      </c>
      <c r="C40" s="4" t="s">
        <v>161</v>
      </c>
      <c r="D40" s="18" t="s">
        <v>162</v>
      </c>
      <c r="E40" s="4"/>
      <c r="F40" s="4" t="s">
        <v>163</v>
      </c>
      <c r="G40" s="4" t="s">
        <v>164</v>
      </c>
      <c r="H40" s="3" t="s">
        <v>42</v>
      </c>
      <c r="I40" s="3" t="s">
        <v>42</v>
      </c>
      <c r="J40" s="6">
        <v>16423</v>
      </c>
      <c r="K40" s="7">
        <f t="shared" si="2"/>
        <v>11198.77</v>
      </c>
      <c r="L40" s="7">
        <f t="shared" si="3"/>
        <v>5224.23</v>
      </c>
      <c r="M40" s="6"/>
      <c r="N40" s="6"/>
      <c r="O40" s="6">
        <v>116</v>
      </c>
      <c r="P40" s="6"/>
      <c r="Q40" s="6"/>
      <c r="R40" s="6"/>
      <c r="S40" s="6">
        <v>5960</v>
      </c>
      <c r="T40" s="3">
        <v>2880</v>
      </c>
      <c r="U40" s="3">
        <v>1603</v>
      </c>
      <c r="V40" s="3"/>
      <c r="W40" s="3">
        <v>3309</v>
      </c>
      <c r="X40" s="3">
        <v>2555</v>
      </c>
      <c r="Y40" s="3"/>
      <c r="Z40" s="6"/>
      <c r="AA40" s="6"/>
      <c r="AB40" s="12"/>
      <c r="AC40" s="15"/>
      <c r="AD40" s="15"/>
      <c r="AE40" s="15"/>
      <c r="AF40" s="7">
        <v>1297.68</v>
      </c>
      <c r="AG40" s="13">
        <v>324.42</v>
      </c>
      <c r="AH40" s="7">
        <v>648.84</v>
      </c>
      <c r="AI40" s="7">
        <v>64.88</v>
      </c>
      <c r="AJ40" s="16">
        <v>2824</v>
      </c>
      <c r="AK40" s="7">
        <v>64.41</v>
      </c>
    </row>
    <row r="41" ht="15" spans="1:37">
      <c r="A41" s="2">
        <v>40</v>
      </c>
      <c r="B41" s="3" t="s">
        <v>55</v>
      </c>
      <c r="C41" s="4" t="s">
        <v>165</v>
      </c>
      <c r="D41" s="18" t="s">
        <v>166</v>
      </c>
      <c r="E41" s="4"/>
      <c r="F41" s="4" t="s">
        <v>163</v>
      </c>
      <c r="G41" s="4" t="s">
        <v>167</v>
      </c>
      <c r="H41" s="3" t="s">
        <v>42</v>
      </c>
      <c r="I41" s="3" t="s">
        <v>42</v>
      </c>
      <c r="J41" s="6">
        <v>14557</v>
      </c>
      <c r="K41" s="7">
        <f t="shared" si="2"/>
        <v>9867.1</v>
      </c>
      <c r="L41" s="7">
        <f t="shared" si="3"/>
        <v>4689.9</v>
      </c>
      <c r="M41" s="6"/>
      <c r="N41" s="6"/>
      <c r="O41" s="6">
        <v>116</v>
      </c>
      <c r="P41" s="6"/>
      <c r="Q41" s="6"/>
      <c r="R41" s="6"/>
      <c r="S41" s="6">
        <v>5050</v>
      </c>
      <c r="T41" s="3">
        <v>2520</v>
      </c>
      <c r="U41" s="3">
        <v>1427</v>
      </c>
      <c r="V41" s="3"/>
      <c r="W41" s="3">
        <v>3124</v>
      </c>
      <c r="X41" s="3">
        <v>2320</v>
      </c>
      <c r="Y41" s="3"/>
      <c r="Z41" s="6"/>
      <c r="AA41" s="6"/>
      <c r="AB41" s="12"/>
      <c r="AC41" s="15"/>
      <c r="AD41" s="15"/>
      <c r="AE41" s="15"/>
      <c r="AF41" s="7">
        <v>1147.2</v>
      </c>
      <c r="AG41" s="13">
        <v>286.8</v>
      </c>
      <c r="AH41" s="7">
        <v>573.6</v>
      </c>
      <c r="AI41" s="7">
        <v>57.36</v>
      </c>
      <c r="AJ41" s="16">
        <v>2478</v>
      </c>
      <c r="AK41" s="7">
        <v>146.94</v>
      </c>
    </row>
    <row r="42" ht="15" spans="1:37">
      <c r="A42" s="2">
        <v>41</v>
      </c>
      <c r="B42" s="3" t="s">
        <v>168</v>
      </c>
      <c r="C42" s="4" t="s">
        <v>169</v>
      </c>
      <c r="D42" s="18" t="s">
        <v>170</v>
      </c>
      <c r="E42" s="4"/>
      <c r="F42" s="4" t="s">
        <v>163</v>
      </c>
      <c r="G42" s="4" t="s">
        <v>171</v>
      </c>
      <c r="H42" s="3" t="s">
        <v>42</v>
      </c>
      <c r="I42" s="3" t="s">
        <v>42</v>
      </c>
      <c r="J42" s="6">
        <v>19489</v>
      </c>
      <c r="K42" s="7">
        <f t="shared" si="2"/>
        <v>13186.22</v>
      </c>
      <c r="L42" s="7">
        <f t="shared" si="3"/>
        <v>6302.78</v>
      </c>
      <c r="M42" s="6"/>
      <c r="N42" s="6"/>
      <c r="O42" s="6">
        <v>116</v>
      </c>
      <c r="P42" s="6">
        <v>5</v>
      </c>
      <c r="Q42" s="6"/>
      <c r="R42" s="6"/>
      <c r="S42" s="6">
        <v>6920</v>
      </c>
      <c r="T42" s="3">
        <v>3455</v>
      </c>
      <c r="U42" s="3">
        <v>2375</v>
      </c>
      <c r="V42" s="3"/>
      <c r="W42" s="3">
        <v>3742</v>
      </c>
      <c r="X42" s="6">
        <v>2876</v>
      </c>
      <c r="Y42" s="3"/>
      <c r="Z42" s="6"/>
      <c r="AA42" s="6"/>
      <c r="AB42" s="12"/>
      <c r="AC42" s="15"/>
      <c r="AD42" s="15"/>
      <c r="AE42" s="15"/>
      <c r="AF42" s="7">
        <v>1538.96</v>
      </c>
      <c r="AG42" s="13">
        <v>384.74</v>
      </c>
      <c r="AH42" s="7">
        <v>769.48</v>
      </c>
      <c r="AI42" s="7">
        <v>76.95</v>
      </c>
      <c r="AJ42" s="16">
        <v>3376</v>
      </c>
      <c r="AK42" s="7">
        <v>156.65</v>
      </c>
    </row>
    <row r="43" ht="15" spans="1:37">
      <c r="A43" s="2">
        <v>42</v>
      </c>
      <c r="B43" s="3" t="s">
        <v>63</v>
      </c>
      <c r="C43" s="4" t="s">
        <v>172</v>
      </c>
      <c r="D43" s="18" t="s">
        <v>173</v>
      </c>
      <c r="E43" s="4"/>
      <c r="F43" s="4" t="s">
        <v>163</v>
      </c>
      <c r="G43" s="4" t="s">
        <v>174</v>
      </c>
      <c r="H43" s="3" t="s">
        <v>42</v>
      </c>
      <c r="I43" s="3" t="s">
        <v>42</v>
      </c>
      <c r="J43" s="6">
        <v>13131</v>
      </c>
      <c r="K43" s="7">
        <f t="shared" si="2"/>
        <v>8891.82</v>
      </c>
      <c r="L43" s="7">
        <f t="shared" si="3"/>
        <v>4239.18</v>
      </c>
      <c r="M43" s="6"/>
      <c r="N43" s="6"/>
      <c r="O43" s="6">
        <v>116</v>
      </c>
      <c r="P43" s="6"/>
      <c r="Q43" s="6"/>
      <c r="R43" s="6"/>
      <c r="S43" s="6">
        <v>4450</v>
      </c>
      <c r="T43" s="3">
        <v>2200</v>
      </c>
      <c r="U43" s="3">
        <v>934</v>
      </c>
      <c r="V43" s="3"/>
      <c r="W43" s="3">
        <v>3099</v>
      </c>
      <c r="X43" s="3">
        <v>2332</v>
      </c>
      <c r="Y43" s="3"/>
      <c r="Z43" s="6"/>
      <c r="AA43" s="6"/>
      <c r="AB43" s="12"/>
      <c r="AC43" s="15"/>
      <c r="AD43" s="15"/>
      <c r="AE43" s="15"/>
      <c r="AF43" s="7">
        <v>1038.48</v>
      </c>
      <c r="AG43" s="13">
        <v>259.62</v>
      </c>
      <c r="AH43" s="7">
        <v>519.24</v>
      </c>
      <c r="AI43" s="7">
        <v>51.92</v>
      </c>
      <c r="AJ43" s="16">
        <v>2315</v>
      </c>
      <c r="AK43" s="7">
        <v>54.92</v>
      </c>
    </row>
    <row r="44" ht="15" spans="1:37">
      <c r="A44" s="2">
        <v>43</v>
      </c>
      <c r="B44" s="3" t="s">
        <v>175</v>
      </c>
      <c r="C44" s="4" t="s">
        <v>176</v>
      </c>
      <c r="D44" s="18" t="s">
        <v>177</v>
      </c>
      <c r="E44" s="4"/>
      <c r="F44" s="4" t="s">
        <v>163</v>
      </c>
      <c r="G44" s="4" t="s">
        <v>174</v>
      </c>
      <c r="H44" s="3" t="s">
        <v>42</v>
      </c>
      <c r="I44" s="3" t="s">
        <v>42</v>
      </c>
      <c r="J44" s="6">
        <v>13010</v>
      </c>
      <c r="K44" s="7">
        <f t="shared" si="2"/>
        <v>9786.79</v>
      </c>
      <c r="L44" s="7">
        <f t="shared" si="3"/>
        <v>3223.21</v>
      </c>
      <c r="M44" s="6"/>
      <c r="N44" s="6"/>
      <c r="O44" s="6">
        <v>116</v>
      </c>
      <c r="P44" s="6"/>
      <c r="Q44" s="6"/>
      <c r="R44" s="6"/>
      <c r="S44" s="6">
        <v>4400</v>
      </c>
      <c r="T44" s="3">
        <v>2200</v>
      </c>
      <c r="U44" s="3">
        <v>863</v>
      </c>
      <c r="V44" s="3"/>
      <c r="W44" s="3">
        <v>3099</v>
      </c>
      <c r="X44" s="3">
        <v>2332</v>
      </c>
      <c r="Y44" s="3"/>
      <c r="Z44" s="6"/>
      <c r="AA44" s="6"/>
      <c r="AB44" s="12"/>
      <c r="AC44" s="15"/>
      <c r="AD44" s="15"/>
      <c r="AE44" s="15"/>
      <c r="AF44" s="7">
        <v>880.64</v>
      </c>
      <c r="AG44" s="13">
        <v>220.16</v>
      </c>
      <c r="AH44" s="7">
        <v>440.32</v>
      </c>
      <c r="AI44" s="7">
        <v>44.03</v>
      </c>
      <c r="AJ44" s="16">
        <v>1540</v>
      </c>
      <c r="AK44" s="7">
        <v>98.06</v>
      </c>
    </row>
    <row r="45" ht="15" spans="1:37">
      <c r="A45" s="2">
        <v>44</v>
      </c>
      <c r="B45" s="3" t="s">
        <v>178</v>
      </c>
      <c r="C45" s="4" t="s">
        <v>179</v>
      </c>
      <c r="D45" s="18" t="s">
        <v>180</v>
      </c>
      <c r="E45" s="4"/>
      <c r="F45" s="4" t="s">
        <v>163</v>
      </c>
      <c r="G45" s="4" t="s">
        <v>174</v>
      </c>
      <c r="H45" s="3" t="s">
        <v>42</v>
      </c>
      <c r="I45" s="3" t="s">
        <v>42</v>
      </c>
      <c r="J45" s="6">
        <v>13010</v>
      </c>
      <c r="K45" s="7">
        <f t="shared" si="2"/>
        <v>9786.79</v>
      </c>
      <c r="L45" s="7">
        <f t="shared" si="3"/>
        <v>3223.21</v>
      </c>
      <c r="M45" s="6"/>
      <c r="N45" s="6"/>
      <c r="O45" s="6">
        <v>116</v>
      </c>
      <c r="P45" s="6"/>
      <c r="Q45" s="6"/>
      <c r="R45" s="6"/>
      <c r="S45" s="6">
        <v>4400</v>
      </c>
      <c r="T45" s="3">
        <v>2200</v>
      </c>
      <c r="U45" s="3">
        <v>863</v>
      </c>
      <c r="V45" s="3"/>
      <c r="W45" s="3">
        <v>3099</v>
      </c>
      <c r="X45" s="3">
        <v>2332</v>
      </c>
      <c r="Y45" s="3"/>
      <c r="Z45" s="6"/>
      <c r="AA45" s="6"/>
      <c r="AB45" s="12"/>
      <c r="AC45" s="15"/>
      <c r="AD45" s="15"/>
      <c r="AE45" s="15"/>
      <c r="AF45" s="7">
        <v>880.64</v>
      </c>
      <c r="AG45" s="13">
        <v>220.16</v>
      </c>
      <c r="AH45" s="7">
        <v>440.32</v>
      </c>
      <c r="AI45" s="7">
        <v>44.03</v>
      </c>
      <c r="AJ45" s="16">
        <v>1540</v>
      </c>
      <c r="AK45" s="7">
        <v>98.06</v>
      </c>
    </row>
    <row r="46" ht="15" spans="1:37">
      <c r="A46" s="2">
        <v>45</v>
      </c>
      <c r="B46" s="3" t="s">
        <v>103</v>
      </c>
      <c r="C46" s="4" t="s">
        <v>181</v>
      </c>
      <c r="D46" s="18" t="s">
        <v>182</v>
      </c>
      <c r="E46" s="4"/>
      <c r="F46" s="4" t="s">
        <v>163</v>
      </c>
      <c r="G46" s="4" t="s">
        <v>183</v>
      </c>
      <c r="H46" s="3" t="s">
        <v>42</v>
      </c>
      <c r="I46" s="3" t="s">
        <v>42</v>
      </c>
      <c r="J46" s="6">
        <v>9634</v>
      </c>
      <c r="K46" s="7">
        <f t="shared" si="2"/>
        <v>7104.94</v>
      </c>
      <c r="L46" s="7">
        <f t="shared" si="3"/>
        <v>2529.06</v>
      </c>
      <c r="M46" s="6"/>
      <c r="N46" s="6"/>
      <c r="O46" s="3">
        <v>116</v>
      </c>
      <c r="P46" s="3"/>
      <c r="Q46" s="6"/>
      <c r="R46" s="6"/>
      <c r="S46" s="6">
        <v>4350</v>
      </c>
      <c r="T46" s="3"/>
      <c r="U46" s="3"/>
      <c r="V46" s="3">
        <v>2650</v>
      </c>
      <c r="W46" s="6">
        <v>1502</v>
      </c>
      <c r="X46" s="3">
        <v>1016</v>
      </c>
      <c r="Y46" s="6"/>
      <c r="Z46" s="6"/>
      <c r="AA46" s="6"/>
      <c r="AB46" s="12"/>
      <c r="AC46" s="15"/>
      <c r="AD46" s="15"/>
      <c r="AE46" s="15"/>
      <c r="AF46" s="7">
        <v>747.52</v>
      </c>
      <c r="AG46" s="13">
        <v>186.88</v>
      </c>
      <c r="AH46" s="7">
        <v>373.76</v>
      </c>
      <c r="AI46" s="7">
        <v>37.38</v>
      </c>
      <c r="AJ46" s="16">
        <v>1122</v>
      </c>
      <c r="AK46" s="7">
        <v>61.52</v>
      </c>
    </row>
    <row r="47" spans="1:37">
      <c r="A47" s="2">
        <v>46</v>
      </c>
      <c r="B47" s="3" t="s">
        <v>184</v>
      </c>
      <c r="C47" s="4" t="s">
        <v>185</v>
      </c>
      <c r="D47" s="18" t="s">
        <v>186</v>
      </c>
      <c r="E47" s="4"/>
      <c r="F47" s="4" t="s">
        <v>163</v>
      </c>
      <c r="G47" s="4" t="s">
        <v>174</v>
      </c>
      <c r="H47" s="3" t="s">
        <v>42</v>
      </c>
      <c r="I47" s="3" t="s">
        <v>42</v>
      </c>
      <c r="J47" s="6">
        <v>12951</v>
      </c>
      <c r="K47" s="7">
        <f t="shared" si="2"/>
        <v>9691.09</v>
      </c>
      <c r="L47" s="7">
        <f t="shared" si="3"/>
        <v>3259.91</v>
      </c>
      <c r="M47" s="8"/>
      <c r="N47" s="8"/>
      <c r="O47" s="6">
        <v>116</v>
      </c>
      <c r="P47" s="6"/>
      <c r="Q47" s="8"/>
      <c r="R47" s="8"/>
      <c r="S47" s="6">
        <v>4400</v>
      </c>
      <c r="T47" s="3">
        <v>2200</v>
      </c>
      <c r="U47" s="3">
        <v>804</v>
      </c>
      <c r="V47" s="3"/>
      <c r="W47" s="3">
        <v>3099</v>
      </c>
      <c r="X47" s="3">
        <v>2332</v>
      </c>
      <c r="Y47" s="8"/>
      <c r="Z47" s="8"/>
      <c r="AA47" s="8"/>
      <c r="AB47" s="8"/>
      <c r="AC47" s="8"/>
      <c r="AD47" s="8"/>
      <c r="AE47" s="8"/>
      <c r="AF47" s="7">
        <v>878.56</v>
      </c>
      <c r="AG47" s="13">
        <v>219.64</v>
      </c>
      <c r="AH47" s="7">
        <v>439.28</v>
      </c>
      <c r="AI47" s="7">
        <v>43.93</v>
      </c>
      <c r="AJ47" s="16">
        <v>1537</v>
      </c>
      <c r="AK47" s="7">
        <v>141.5</v>
      </c>
    </row>
    <row r="48" spans="1:37">
      <c r="A48" s="2">
        <v>47</v>
      </c>
      <c r="B48" s="3" t="s">
        <v>187</v>
      </c>
      <c r="C48" s="4" t="s">
        <v>188</v>
      </c>
      <c r="D48" s="18" t="s">
        <v>189</v>
      </c>
      <c r="E48" s="4"/>
      <c r="F48" s="4" t="s">
        <v>163</v>
      </c>
      <c r="G48" s="4" t="s">
        <v>167</v>
      </c>
      <c r="H48" s="3" t="s">
        <v>42</v>
      </c>
      <c r="I48" s="3" t="s">
        <v>42</v>
      </c>
      <c r="J48" s="6">
        <v>14645</v>
      </c>
      <c r="K48" s="7">
        <f t="shared" si="2"/>
        <v>10080.76</v>
      </c>
      <c r="L48" s="7">
        <f t="shared" si="3"/>
        <v>4564.24</v>
      </c>
      <c r="M48" s="8"/>
      <c r="N48" s="8"/>
      <c r="O48" s="6">
        <v>116</v>
      </c>
      <c r="P48" s="6"/>
      <c r="Q48" s="8"/>
      <c r="R48" s="8"/>
      <c r="S48" s="6">
        <v>5050</v>
      </c>
      <c r="T48" s="3">
        <v>2520</v>
      </c>
      <c r="U48" s="3">
        <v>1515</v>
      </c>
      <c r="V48" s="3"/>
      <c r="W48" s="3">
        <v>3124</v>
      </c>
      <c r="X48" s="3">
        <v>2320</v>
      </c>
      <c r="Y48" s="8"/>
      <c r="Z48" s="8"/>
      <c r="AA48" s="8"/>
      <c r="AB48" s="8"/>
      <c r="AC48" s="8"/>
      <c r="AD48" s="8"/>
      <c r="AE48" s="8"/>
      <c r="AF48" s="7">
        <v>1153.6</v>
      </c>
      <c r="AG48" s="13">
        <v>288.4</v>
      </c>
      <c r="AH48" s="7">
        <v>576.8</v>
      </c>
      <c r="AI48" s="7">
        <v>57.68</v>
      </c>
      <c r="AJ48" s="16">
        <v>2427</v>
      </c>
      <c r="AK48" s="7">
        <v>60.76</v>
      </c>
    </row>
    <row r="49" spans="1:37">
      <c r="A49" s="2">
        <v>48</v>
      </c>
      <c r="B49" s="3" t="s">
        <v>106</v>
      </c>
      <c r="C49" s="4" t="s">
        <v>190</v>
      </c>
      <c r="D49" s="18" t="s">
        <v>191</v>
      </c>
      <c r="E49" s="4"/>
      <c r="F49" s="4" t="s">
        <v>163</v>
      </c>
      <c r="G49" s="4" t="s">
        <v>174</v>
      </c>
      <c r="H49" s="3" t="s">
        <v>42</v>
      </c>
      <c r="I49" s="3" t="s">
        <v>42</v>
      </c>
      <c r="J49" s="6">
        <v>13081</v>
      </c>
      <c r="K49" s="7">
        <f t="shared" si="2"/>
        <v>8875.46</v>
      </c>
      <c r="L49" s="7">
        <f t="shared" si="3"/>
        <v>4205.54</v>
      </c>
      <c r="M49" s="8"/>
      <c r="N49" s="8"/>
      <c r="O49" s="6">
        <v>116</v>
      </c>
      <c r="P49" s="6"/>
      <c r="Q49" s="8"/>
      <c r="R49" s="8"/>
      <c r="S49" s="6">
        <v>4400</v>
      </c>
      <c r="T49" s="3">
        <v>2200</v>
      </c>
      <c r="U49" s="3">
        <v>934</v>
      </c>
      <c r="V49" s="3"/>
      <c r="W49" s="3">
        <v>3099</v>
      </c>
      <c r="X49" s="3">
        <v>2332</v>
      </c>
      <c r="Y49" s="8"/>
      <c r="Z49" s="8"/>
      <c r="AA49" s="8"/>
      <c r="AB49" s="8"/>
      <c r="AC49" s="8"/>
      <c r="AD49" s="8"/>
      <c r="AE49" s="8"/>
      <c r="AF49" s="7">
        <v>1036.48</v>
      </c>
      <c r="AG49" s="13">
        <v>259.12</v>
      </c>
      <c r="AH49" s="7">
        <v>518.24</v>
      </c>
      <c r="AI49" s="7">
        <v>51.82</v>
      </c>
      <c r="AJ49" s="16">
        <v>2270</v>
      </c>
      <c r="AK49" s="7">
        <v>69.88</v>
      </c>
    </row>
    <row r="50" spans="1:37">
      <c r="A50" s="2">
        <v>49</v>
      </c>
      <c r="B50" s="3" t="s">
        <v>110</v>
      </c>
      <c r="C50" s="4" t="s">
        <v>192</v>
      </c>
      <c r="D50" s="18" t="s">
        <v>193</v>
      </c>
      <c r="E50" s="4"/>
      <c r="F50" s="4" t="s">
        <v>163</v>
      </c>
      <c r="G50" s="4" t="s">
        <v>171</v>
      </c>
      <c r="H50" s="3" t="s">
        <v>42</v>
      </c>
      <c r="I50" s="3" t="s">
        <v>42</v>
      </c>
      <c r="J50" s="6">
        <v>18712</v>
      </c>
      <c r="K50" s="7">
        <f t="shared" si="2"/>
        <v>12695.83</v>
      </c>
      <c r="L50" s="7">
        <f t="shared" si="3"/>
        <v>6016.17</v>
      </c>
      <c r="M50" s="8"/>
      <c r="N50" s="8"/>
      <c r="O50" s="6">
        <v>116</v>
      </c>
      <c r="P50" s="6"/>
      <c r="Q50" s="8"/>
      <c r="R50" s="8"/>
      <c r="S50" s="6">
        <v>6920</v>
      </c>
      <c r="T50" s="3">
        <v>3455</v>
      </c>
      <c r="U50" s="3">
        <v>1603</v>
      </c>
      <c r="V50" s="3"/>
      <c r="W50" s="3">
        <v>3742</v>
      </c>
      <c r="X50" s="3">
        <v>2876</v>
      </c>
      <c r="Y50" s="8"/>
      <c r="Z50" s="8"/>
      <c r="AA50" s="8"/>
      <c r="AB50" s="8"/>
      <c r="AC50" s="8"/>
      <c r="AD50" s="8"/>
      <c r="AE50" s="8"/>
      <c r="AF50" s="7">
        <v>1476.4</v>
      </c>
      <c r="AG50" s="13">
        <v>369.1</v>
      </c>
      <c r="AH50" s="7">
        <v>738.2</v>
      </c>
      <c r="AI50" s="7">
        <v>73.82</v>
      </c>
      <c r="AJ50" s="16">
        <v>3217</v>
      </c>
      <c r="AK50" s="7">
        <v>141.65</v>
      </c>
    </row>
    <row r="51" spans="1:37">
      <c r="A51" s="2">
        <v>50</v>
      </c>
      <c r="B51" s="3" t="s">
        <v>194</v>
      </c>
      <c r="C51" s="4" t="s">
        <v>195</v>
      </c>
      <c r="D51" s="18" t="s">
        <v>196</v>
      </c>
      <c r="E51" s="4"/>
      <c r="F51" s="4" t="s">
        <v>163</v>
      </c>
      <c r="G51" s="4" t="s">
        <v>167</v>
      </c>
      <c r="H51" s="3" t="s">
        <v>42</v>
      </c>
      <c r="I51" s="3" t="s">
        <v>42</v>
      </c>
      <c r="J51" s="6">
        <v>14031</v>
      </c>
      <c r="K51" s="7">
        <f t="shared" si="2"/>
        <v>9540.21</v>
      </c>
      <c r="L51" s="7">
        <f t="shared" si="3"/>
        <v>4490.79</v>
      </c>
      <c r="M51" s="8"/>
      <c r="N51" s="8"/>
      <c r="O51" s="6">
        <v>116</v>
      </c>
      <c r="P51" s="6"/>
      <c r="Q51" s="8"/>
      <c r="R51" s="8"/>
      <c r="S51" s="6">
        <v>4700</v>
      </c>
      <c r="T51" s="3">
        <v>2520</v>
      </c>
      <c r="U51" s="3">
        <v>1251</v>
      </c>
      <c r="V51" s="3"/>
      <c r="W51" s="3">
        <v>3124</v>
      </c>
      <c r="X51" s="3">
        <v>2320</v>
      </c>
      <c r="Y51" s="8"/>
      <c r="Z51" s="8"/>
      <c r="AA51" s="8"/>
      <c r="AB51" s="8"/>
      <c r="AC51" s="8"/>
      <c r="AD51" s="8"/>
      <c r="AE51" s="8"/>
      <c r="AF51" s="7">
        <v>1107.2</v>
      </c>
      <c r="AG51" s="13">
        <v>276.8</v>
      </c>
      <c r="AH51" s="7">
        <v>553.6</v>
      </c>
      <c r="AI51" s="7">
        <v>55.36</v>
      </c>
      <c r="AJ51" s="16">
        <v>2361</v>
      </c>
      <c r="AK51" s="7">
        <v>136.83</v>
      </c>
    </row>
    <row r="52" spans="1:37">
      <c r="A52" s="2">
        <v>51</v>
      </c>
      <c r="B52" s="3" t="s">
        <v>197</v>
      </c>
      <c r="C52" s="4" t="s">
        <v>198</v>
      </c>
      <c r="D52" s="18" t="s">
        <v>199</v>
      </c>
      <c r="E52" s="4"/>
      <c r="F52" s="4" t="s">
        <v>163</v>
      </c>
      <c r="G52" s="4" t="s">
        <v>164</v>
      </c>
      <c r="H52" s="3" t="s">
        <v>42</v>
      </c>
      <c r="I52" s="3" t="s">
        <v>42</v>
      </c>
      <c r="J52" s="6">
        <v>16335</v>
      </c>
      <c r="K52" s="7">
        <f t="shared" si="2"/>
        <v>11284.5</v>
      </c>
      <c r="L52" s="7">
        <f t="shared" si="3"/>
        <v>5050.5</v>
      </c>
      <c r="M52" s="8"/>
      <c r="N52" s="8"/>
      <c r="O52" s="6">
        <v>116</v>
      </c>
      <c r="P52" s="6"/>
      <c r="Q52" s="8"/>
      <c r="R52" s="8"/>
      <c r="S52" s="6">
        <v>5960</v>
      </c>
      <c r="T52" s="3">
        <v>2880</v>
      </c>
      <c r="U52" s="3">
        <v>1515</v>
      </c>
      <c r="V52" s="3"/>
      <c r="W52" s="3">
        <v>3309</v>
      </c>
      <c r="X52" s="3">
        <v>2555</v>
      </c>
      <c r="Y52" s="8"/>
      <c r="Z52" s="8"/>
      <c r="AA52" s="8"/>
      <c r="AB52" s="8"/>
      <c r="AC52" s="8"/>
      <c r="AD52" s="8"/>
      <c r="AE52" s="8"/>
      <c r="AF52" s="7">
        <v>1260.4</v>
      </c>
      <c r="AG52" s="13">
        <v>315.1</v>
      </c>
      <c r="AH52" s="7">
        <v>630.2</v>
      </c>
      <c r="AI52" s="7">
        <v>63.02</v>
      </c>
      <c r="AJ52" s="16">
        <v>2591</v>
      </c>
      <c r="AK52" s="7">
        <v>190.78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王波</cp:lastModifiedBy>
  <dcterms:created xsi:type="dcterms:W3CDTF">2023-05-12T11:15:00Z</dcterms:created>
  <dcterms:modified xsi:type="dcterms:W3CDTF">2025-05-22T11:20:46Z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BB5764514E8C493981FFA0A24B2B5C06_12</vt:lpwstr>
  </property>
</Properties>
</file>