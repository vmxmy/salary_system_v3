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mingyang/Desktop/未命名文件夹/导入表/2 月/"/>
    </mc:Choice>
  </mc:AlternateContent>
  <xr:revisionPtr revIDLastSave="0" documentId="13_ncr:1_{327DB672-D021-7246-AD6A-BD8064C200C1}" xr6:coauthVersionLast="47" xr6:coauthVersionMax="47" xr10:uidLastSave="{00000000-0000-0000-0000-000000000000}"/>
  <bookViews>
    <workbookView xWindow="0" yWindow="660" windowWidth="28800" windowHeight="17980" xr2:uid="{51BEA045-21E4-A646-BC8C-5A4BC7885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32" i="1"/>
  <c r="J31" i="1"/>
  <c r="J30" i="1"/>
  <c r="J29" i="1"/>
  <c r="J28" i="1"/>
  <c r="J27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 s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<sst xmlns="http://schemas.openxmlformats.org/spreadsheetml/2006/main" count="245" uniqueCount="129">
  <si>
    <t>序号</t>
  </si>
  <si>
    <t>独生子女父母奖励金</t>
  </si>
  <si>
    <t>公务交通补贴</t>
  </si>
  <si>
    <t>基础绩效奖</t>
  </si>
  <si>
    <t>乡镇工作补贴</t>
  </si>
  <si>
    <t>汪琳</t>
  </si>
  <si>
    <t>510103197108310040</t>
  </si>
  <si>
    <t>韩霜</t>
  </si>
  <si>
    <t>511002197402181525</t>
  </si>
  <si>
    <t>李薇</t>
  </si>
  <si>
    <t>510212197210121627</t>
  </si>
  <si>
    <t>蒲薇</t>
  </si>
  <si>
    <t>510104198105140665</t>
  </si>
  <si>
    <t>吕果</t>
  </si>
  <si>
    <t>510107197509030897</t>
  </si>
  <si>
    <t>黄明</t>
  </si>
  <si>
    <t>513401196804180245</t>
  </si>
  <si>
    <t>冉光俊</t>
  </si>
  <si>
    <t>510103197309155710</t>
  </si>
  <si>
    <t>熊静</t>
  </si>
  <si>
    <t>510102197005034083</t>
  </si>
  <si>
    <t>方敬玉</t>
  </si>
  <si>
    <t>510102196903083202</t>
  </si>
  <si>
    <t>高洪艳</t>
  </si>
  <si>
    <t>510103197106094225</t>
  </si>
  <si>
    <t>罗蓉</t>
  </si>
  <si>
    <t>510106197511143528</t>
  </si>
  <si>
    <t>杨洋</t>
  </si>
  <si>
    <t>510106197512164128</t>
  </si>
  <si>
    <t>何婷</t>
  </si>
  <si>
    <t>510102197110271064</t>
  </si>
  <si>
    <t>廖希</t>
  </si>
  <si>
    <t>510113198101150029</t>
  </si>
  <si>
    <t>包晓静</t>
  </si>
  <si>
    <t>51010719800901262X</t>
  </si>
  <si>
    <t>李文媛</t>
  </si>
  <si>
    <t>370902197908020026</t>
  </si>
  <si>
    <t>刘丹</t>
  </si>
  <si>
    <t>513101198306270320</t>
  </si>
  <si>
    <t>马霜</t>
  </si>
  <si>
    <t>511302198612070349</t>
  </si>
  <si>
    <t>邱高长青</t>
  </si>
  <si>
    <t>511524199204180024</t>
  </si>
  <si>
    <t>周宏伟</t>
  </si>
  <si>
    <t>429006198705292113</t>
  </si>
  <si>
    <t>周雪莲</t>
  </si>
  <si>
    <t>511323198111206326</t>
  </si>
  <si>
    <t>谷颖</t>
  </si>
  <si>
    <t>512528197506224093</t>
  </si>
  <si>
    <t>胡潇</t>
  </si>
  <si>
    <t>511113199412223323</t>
  </si>
  <si>
    <t>田原</t>
  </si>
  <si>
    <t>513030199904070047</t>
  </si>
  <si>
    <t>刘嘉</t>
  </si>
  <si>
    <t>51010419790927236X</t>
  </si>
  <si>
    <t>张磊</t>
  </si>
  <si>
    <t>511111198901171715</t>
  </si>
  <si>
    <t>胡艺山</t>
  </si>
  <si>
    <t>510522198903201295</t>
  </si>
  <si>
    <t>李庆</t>
  </si>
  <si>
    <t>510107197706032170</t>
  </si>
  <si>
    <t>唐国晋</t>
  </si>
  <si>
    <t>511381199708288596</t>
  </si>
  <si>
    <t>张福祥</t>
  </si>
  <si>
    <t>230621199504160058</t>
  </si>
  <si>
    <t>杨钰婕</t>
  </si>
  <si>
    <t>511102199707145925</t>
  </si>
  <si>
    <t>李汶卿</t>
  </si>
  <si>
    <t>620503199907198039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</si>
  <si>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</si>
  <si>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</si>
  <si>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</si>
  <si>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</si>
  <si>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</si>
  <si>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</si>
  <si>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</si>
  <si>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</si>
  <si>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</si>
  <si>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</si>
  <si>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</si>
  <si>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职务/技术等级 工资</t>
  </si>
  <si>
    <t>级别/岗位级别 工资</t>
  </si>
  <si>
    <t>93年工改保留补贴</t>
  </si>
  <si>
    <t>信访工作人员岗位津贴</t>
  </si>
  <si>
    <t>公务员规范性津贴补贴</t>
  </si>
  <si>
    <t>00002</t>
  </si>
  <si>
    <t>参公人员</t>
  </si>
  <si>
    <t>县处级正职</t>
  </si>
  <si>
    <t>是</t>
  </si>
  <si>
    <t>00003</t>
  </si>
  <si>
    <t>县处级副职</t>
  </si>
  <si>
    <t>00005</t>
  </si>
  <si>
    <t>00008</t>
  </si>
  <si>
    <t>一级主任科员</t>
  </si>
  <si>
    <t>00009</t>
  </si>
  <si>
    <t>00010</t>
  </si>
  <si>
    <t>00012</t>
  </si>
  <si>
    <t>00013</t>
  </si>
  <si>
    <t>00014</t>
  </si>
  <si>
    <t>00017</t>
  </si>
  <si>
    <t>00019</t>
  </si>
  <si>
    <t>00022</t>
  </si>
  <si>
    <t>00025</t>
  </si>
  <si>
    <t>二级主任科员</t>
  </si>
  <si>
    <t>00026</t>
  </si>
  <si>
    <t>综合类公务员</t>
  </si>
  <si>
    <t>00029</t>
  </si>
  <si>
    <t>00036</t>
  </si>
  <si>
    <t>三级主任科员</t>
  </si>
  <si>
    <t>00038</t>
  </si>
  <si>
    <t>四级主任科员</t>
  </si>
  <si>
    <t>已登记公务员</t>
  </si>
  <si>
    <t>00004</t>
  </si>
  <si>
    <t>00007</t>
  </si>
  <si>
    <t>机关技术工人</t>
  </si>
  <si>
    <t>高级工</t>
  </si>
  <si>
    <t>00016</t>
  </si>
  <si>
    <t>一级调研员</t>
  </si>
  <si>
    <t>事业技术工人</t>
  </si>
  <si>
    <t>技术工三级</t>
  </si>
  <si>
    <t>管理人员</t>
  </si>
  <si>
    <t>六级管理岗位</t>
  </si>
  <si>
    <t>七级管理岗位</t>
  </si>
  <si>
    <t>00011</t>
  </si>
  <si>
    <t>五级管理岗位</t>
  </si>
  <si>
    <t>八级管理岗位</t>
  </si>
  <si>
    <t>00020</t>
  </si>
  <si>
    <t>00021</t>
  </si>
  <si>
    <t>试用期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</si>
</sst>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0" quotePrefix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3" fillId="0" borderId="1" xfId="0" applyFont="1" applyBorder="1">
      <alignment vertical="center"/>
    </xf>
    <xf numFmtId="0" fontId="4" fillId="0" borderId="1" xfId="0" quotePrefix="1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8A7E-0961-AF4D-9E6B-878C510B5560}">
  <dimension ref="A1:U33"/>
  <sheetViews>
    <sheetView tabSelected="1" workbookViewId="0">
      <selection activeCell="P14" sqref="P14"/>
    </sheetView>
  </sheetViews>
  <sheetFormatPr baseColWidth="10" defaultRowHeight="16"/>
  <sheetData>
    <row r="1" spans="1:21" ht="28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1</v>
      </c>
      <c r="Q1" s="2" t="s">
        <v>83</v>
      </c>
      <c r="R1" s="2" t="s">
        <v>4</v>
      </c>
      <c r="S1" s="2" t="s">
        <v>84</v>
      </c>
      <c r="T1" s="2" t="s">
        <v>2</v>
      </c>
      <c r="U1" s="2" t="s">
        <v>3</v>
      </c>
    </row>
    <row r="2" spans="1:21">
      <c r="A2" s="3">
        <v>1</v>
      </c>
      <c r="B2" s="4" t="s">
        <v>85</v>
      </c>
      <c r="C2" s="5" t="s">
        <v>19</v>
      </c>
      <c r="D2" s="4" t="s">
        <v>20</v>
      </c>
      <c r="E2" s="5"/>
      <c r="F2" s="5" t="s">
        <v>86</v>
      </c>
      <c r="G2" s="5" t="s">
        <v>87</v>
      </c>
      <c r="H2" s="5" t="s">
        <v>88</v>
      </c>
      <c r="I2" s="5" t="s">
        <v>88</v>
      </c>
      <c r="J2" s="6">
        <f>K2+L2</f>
        <v>30070</v>
      </c>
      <c r="K2" s="6">
        <v>22239</v>
      </c>
      <c r="L2" s="6">
        <v>7831</v>
      </c>
      <c r="M2" s="6">
        <v>2770</v>
      </c>
      <c r="N2" s="6">
        <v>4247</v>
      </c>
      <c r="O2" s="6">
        <v>116</v>
      </c>
      <c r="P2" s="5"/>
      <c r="Q2" s="5"/>
      <c r="R2" s="5"/>
      <c r="S2" s="6">
        <v>7626</v>
      </c>
      <c r="T2" s="6">
        <v>1040</v>
      </c>
      <c r="U2" s="6">
        <v>6440</v>
      </c>
    </row>
    <row r="3" spans="1:21">
      <c r="A3" s="3">
        <v>2</v>
      </c>
      <c r="B3" s="4" t="s">
        <v>89</v>
      </c>
      <c r="C3" s="5" t="s">
        <v>21</v>
      </c>
      <c r="D3" s="4" t="s">
        <v>22</v>
      </c>
      <c r="E3" s="5"/>
      <c r="F3" s="5" t="s">
        <v>86</v>
      </c>
      <c r="G3" s="5" t="s">
        <v>90</v>
      </c>
      <c r="H3" s="5" t="s">
        <v>88</v>
      </c>
      <c r="I3" s="5" t="s">
        <v>88</v>
      </c>
      <c r="J3" s="6">
        <f t="shared" ref="J3:J18" si="0">K3+L3</f>
        <v>25018</v>
      </c>
      <c r="K3" s="6">
        <v>18278</v>
      </c>
      <c r="L3" s="6">
        <v>6740</v>
      </c>
      <c r="M3" s="6">
        <v>2160</v>
      </c>
      <c r="N3" s="6">
        <v>3868</v>
      </c>
      <c r="O3" s="6">
        <v>116</v>
      </c>
      <c r="P3" s="5"/>
      <c r="Q3" s="5"/>
      <c r="R3" s="5"/>
      <c r="S3" s="6">
        <v>5614</v>
      </c>
      <c r="T3" s="6">
        <v>1040</v>
      </c>
      <c r="U3" s="6">
        <v>5480</v>
      </c>
    </row>
    <row r="4" spans="1:21">
      <c r="A4" s="3">
        <v>3</v>
      </c>
      <c r="B4" s="4" t="s">
        <v>91</v>
      </c>
      <c r="C4" s="5" t="s">
        <v>23</v>
      </c>
      <c r="D4" s="4" t="s">
        <v>24</v>
      </c>
      <c r="E4" s="5"/>
      <c r="F4" s="5" t="s">
        <v>86</v>
      </c>
      <c r="G4" s="5" t="s">
        <v>90</v>
      </c>
      <c r="H4" s="5" t="s">
        <v>88</v>
      </c>
      <c r="I4" s="5" t="s">
        <v>88</v>
      </c>
      <c r="J4" s="6">
        <f t="shared" si="0"/>
        <v>25004</v>
      </c>
      <c r="K4" s="6">
        <v>18658</v>
      </c>
      <c r="L4" s="6">
        <v>6346</v>
      </c>
      <c r="M4" s="6">
        <v>2160</v>
      </c>
      <c r="N4" s="6">
        <v>3518</v>
      </c>
      <c r="O4" s="6">
        <v>116</v>
      </c>
      <c r="P4" s="5"/>
      <c r="Q4" s="5"/>
      <c r="R4" s="5"/>
      <c r="S4" s="6">
        <v>5864</v>
      </c>
      <c r="T4" s="6">
        <v>1040</v>
      </c>
      <c r="U4" s="6">
        <v>5960</v>
      </c>
    </row>
    <row r="5" spans="1:21">
      <c r="A5" s="3">
        <v>5</v>
      </c>
      <c r="B5" s="4" t="s">
        <v>92</v>
      </c>
      <c r="C5" s="5" t="s">
        <v>25</v>
      </c>
      <c r="D5" s="4" t="s">
        <v>26</v>
      </c>
      <c r="E5" s="5"/>
      <c r="F5" s="5" t="s">
        <v>86</v>
      </c>
      <c r="G5" s="5" t="s">
        <v>93</v>
      </c>
      <c r="H5" s="5" t="s">
        <v>88</v>
      </c>
      <c r="I5" s="5" t="s">
        <v>88</v>
      </c>
      <c r="J5" s="6">
        <f t="shared" si="0"/>
        <v>21578</v>
      </c>
      <c r="K5" s="6">
        <v>16175</v>
      </c>
      <c r="L5" s="6">
        <v>5403</v>
      </c>
      <c r="M5" s="6">
        <v>1780</v>
      </c>
      <c r="N5" s="6">
        <v>3045</v>
      </c>
      <c r="O5" s="6">
        <v>116</v>
      </c>
      <c r="P5" s="6">
        <v>5</v>
      </c>
      <c r="Q5" s="5"/>
      <c r="R5" s="5"/>
      <c r="S5" s="6">
        <v>5529</v>
      </c>
      <c r="T5" s="6">
        <v>650</v>
      </c>
      <c r="U5" s="6">
        <v>5050</v>
      </c>
    </row>
    <row r="6" spans="1:21">
      <c r="A6" s="3">
        <v>6</v>
      </c>
      <c r="B6" s="4" t="s">
        <v>94</v>
      </c>
      <c r="C6" s="5" t="s">
        <v>27</v>
      </c>
      <c r="D6" s="4" t="s">
        <v>28</v>
      </c>
      <c r="E6" s="5"/>
      <c r="F6" s="5" t="s">
        <v>86</v>
      </c>
      <c r="G6" s="5" t="s">
        <v>93</v>
      </c>
      <c r="H6" s="5" t="s">
        <v>88</v>
      </c>
      <c r="I6" s="5" t="s">
        <v>88</v>
      </c>
      <c r="J6" s="6">
        <f t="shared" si="0"/>
        <v>21899</v>
      </c>
      <c r="K6" s="6">
        <v>16323</v>
      </c>
      <c r="L6" s="6">
        <v>5576</v>
      </c>
      <c r="M6" s="6">
        <v>1780</v>
      </c>
      <c r="N6" s="6">
        <v>3198</v>
      </c>
      <c r="O6" s="6">
        <v>116</v>
      </c>
      <c r="P6" s="5"/>
      <c r="Q6" s="5"/>
      <c r="R6" s="5"/>
      <c r="S6" s="6">
        <v>5529</v>
      </c>
      <c r="T6" s="6">
        <v>650</v>
      </c>
      <c r="U6" s="6">
        <v>5050</v>
      </c>
    </row>
    <row r="7" spans="1:21">
      <c r="A7" s="3">
        <v>7</v>
      </c>
      <c r="B7" s="4" t="s">
        <v>95</v>
      </c>
      <c r="C7" s="5" t="s">
        <v>29</v>
      </c>
      <c r="D7" s="4" t="s">
        <v>30</v>
      </c>
      <c r="E7" s="5"/>
      <c r="F7" s="5" t="s">
        <v>86</v>
      </c>
      <c r="G7" s="5" t="s">
        <v>93</v>
      </c>
      <c r="H7" s="5" t="s">
        <v>88</v>
      </c>
      <c r="I7" s="5" t="s">
        <v>88</v>
      </c>
      <c r="J7" s="6">
        <f t="shared" si="0"/>
        <v>22416</v>
      </c>
      <c r="K7" s="6">
        <v>16569</v>
      </c>
      <c r="L7" s="6">
        <v>5847</v>
      </c>
      <c r="M7" s="6">
        <v>1780</v>
      </c>
      <c r="N7" s="6">
        <v>3439</v>
      </c>
      <c r="O7" s="6">
        <v>116</v>
      </c>
      <c r="P7" s="6">
        <v>5</v>
      </c>
      <c r="Q7" s="5"/>
      <c r="R7" s="5"/>
      <c r="S7" s="6">
        <v>5529</v>
      </c>
      <c r="T7" s="6">
        <v>650</v>
      </c>
      <c r="U7" s="6">
        <v>5050</v>
      </c>
    </row>
    <row r="8" spans="1:21">
      <c r="A8" s="3">
        <v>8</v>
      </c>
      <c r="B8" s="4" t="s">
        <v>96</v>
      </c>
      <c r="C8" s="5" t="s">
        <v>31</v>
      </c>
      <c r="D8" s="4" t="s">
        <v>32</v>
      </c>
      <c r="E8" s="5"/>
      <c r="F8" s="5" t="s">
        <v>86</v>
      </c>
      <c r="G8" s="5" t="s">
        <v>93</v>
      </c>
      <c r="H8" s="5" t="s">
        <v>88</v>
      </c>
      <c r="I8" s="5" t="s">
        <v>88</v>
      </c>
      <c r="J8" s="6">
        <f t="shared" si="0"/>
        <v>20806</v>
      </c>
      <c r="K8" s="6">
        <v>15810</v>
      </c>
      <c r="L8" s="6">
        <v>4996</v>
      </c>
      <c r="M8" s="6">
        <v>1780</v>
      </c>
      <c r="N8" s="6">
        <v>2685</v>
      </c>
      <c r="O8" s="6">
        <v>116</v>
      </c>
      <c r="P8" s="5"/>
      <c r="Q8" s="5"/>
      <c r="R8" s="5"/>
      <c r="S8" s="6">
        <v>5529</v>
      </c>
      <c r="T8" s="6">
        <v>650</v>
      </c>
      <c r="U8" s="6">
        <v>5050</v>
      </c>
    </row>
    <row r="9" spans="1:21">
      <c r="A9" s="3">
        <v>9</v>
      </c>
      <c r="B9" s="4" t="s">
        <v>97</v>
      </c>
      <c r="C9" s="5" t="s">
        <v>33</v>
      </c>
      <c r="D9" s="4" t="s">
        <v>34</v>
      </c>
      <c r="E9" s="5"/>
      <c r="F9" s="5" t="s">
        <v>86</v>
      </c>
      <c r="G9" s="5" t="s">
        <v>93</v>
      </c>
      <c r="H9" s="5" t="s">
        <v>88</v>
      </c>
      <c r="I9" s="5" t="s">
        <v>88</v>
      </c>
      <c r="J9" s="6">
        <f t="shared" si="0"/>
        <v>20806</v>
      </c>
      <c r="K9" s="6">
        <v>15810</v>
      </c>
      <c r="L9" s="6">
        <v>4996</v>
      </c>
      <c r="M9" s="6">
        <v>1780</v>
      </c>
      <c r="N9" s="6">
        <v>2685</v>
      </c>
      <c r="O9" s="6">
        <v>116</v>
      </c>
      <c r="P9" s="5"/>
      <c r="Q9" s="5"/>
      <c r="R9" s="5"/>
      <c r="S9" s="6">
        <v>5529</v>
      </c>
      <c r="T9" s="6">
        <v>650</v>
      </c>
      <c r="U9" s="6">
        <v>5050</v>
      </c>
    </row>
    <row r="10" spans="1:21">
      <c r="A10" s="3">
        <v>10</v>
      </c>
      <c r="B10" s="4" t="s">
        <v>98</v>
      </c>
      <c r="C10" s="5" t="s">
        <v>35</v>
      </c>
      <c r="D10" s="4" t="s">
        <v>36</v>
      </c>
      <c r="E10" s="5"/>
      <c r="F10" s="5" t="s">
        <v>86</v>
      </c>
      <c r="G10" s="5" t="s">
        <v>90</v>
      </c>
      <c r="H10" s="5" t="s">
        <v>88</v>
      </c>
      <c r="I10" s="5" t="s">
        <v>88</v>
      </c>
      <c r="J10" s="6">
        <f t="shared" si="0"/>
        <v>23789</v>
      </c>
      <c r="K10" s="6">
        <v>18087</v>
      </c>
      <c r="L10" s="6">
        <v>5702</v>
      </c>
      <c r="M10" s="6">
        <v>2160</v>
      </c>
      <c r="N10" s="6">
        <v>2947</v>
      </c>
      <c r="O10" s="6">
        <v>116</v>
      </c>
      <c r="P10" s="5"/>
      <c r="Q10" s="5"/>
      <c r="R10" s="5"/>
      <c r="S10" s="6">
        <v>5864</v>
      </c>
      <c r="T10" s="6">
        <v>1040</v>
      </c>
      <c r="U10" s="6">
        <v>5960</v>
      </c>
    </row>
    <row r="11" spans="1:21">
      <c r="A11" s="3">
        <v>11</v>
      </c>
      <c r="B11" s="4" t="s">
        <v>99</v>
      </c>
      <c r="C11" s="5" t="s">
        <v>37</v>
      </c>
      <c r="D11" s="4" t="s">
        <v>38</v>
      </c>
      <c r="E11" s="5"/>
      <c r="F11" s="5" t="s">
        <v>86</v>
      </c>
      <c r="G11" s="5" t="s">
        <v>90</v>
      </c>
      <c r="H11" s="5" t="s">
        <v>88</v>
      </c>
      <c r="I11" s="5" t="s">
        <v>88</v>
      </c>
      <c r="J11" s="6">
        <f t="shared" si="0"/>
        <v>23351</v>
      </c>
      <c r="K11" s="6">
        <v>17884</v>
      </c>
      <c r="L11" s="6">
        <v>5467</v>
      </c>
      <c r="M11" s="6">
        <v>2160</v>
      </c>
      <c r="N11" s="6">
        <v>2739</v>
      </c>
      <c r="O11" s="6">
        <v>116</v>
      </c>
      <c r="P11" s="6">
        <v>5</v>
      </c>
      <c r="Q11" s="5"/>
      <c r="R11" s="5"/>
      <c r="S11" s="6">
        <v>5864</v>
      </c>
      <c r="T11" s="6">
        <v>1040</v>
      </c>
      <c r="U11" s="6">
        <v>5960</v>
      </c>
    </row>
    <row r="12" spans="1:21">
      <c r="A12" s="3">
        <v>12</v>
      </c>
      <c r="B12" s="4" t="s">
        <v>100</v>
      </c>
      <c r="C12" s="5" t="s">
        <v>39</v>
      </c>
      <c r="D12" s="4" t="s">
        <v>40</v>
      </c>
      <c r="E12" s="5"/>
      <c r="F12" s="5" t="s">
        <v>86</v>
      </c>
      <c r="G12" s="5" t="s">
        <v>93</v>
      </c>
      <c r="H12" s="5" t="s">
        <v>88</v>
      </c>
      <c r="I12" s="5" t="s">
        <v>88</v>
      </c>
      <c r="J12" s="6">
        <f t="shared" si="0"/>
        <v>20108</v>
      </c>
      <c r="K12" s="6">
        <v>15483</v>
      </c>
      <c r="L12" s="6">
        <v>4625</v>
      </c>
      <c r="M12" s="6">
        <v>1780</v>
      </c>
      <c r="N12" s="6">
        <v>2358</v>
      </c>
      <c r="O12" s="6">
        <v>116</v>
      </c>
      <c r="P12" s="5"/>
      <c r="Q12" s="5"/>
      <c r="R12" s="5"/>
      <c r="S12" s="6">
        <v>5529</v>
      </c>
      <c r="T12" s="6">
        <v>650</v>
      </c>
      <c r="U12" s="6">
        <v>5050</v>
      </c>
    </row>
    <row r="13" spans="1:21">
      <c r="A13" s="3">
        <v>13</v>
      </c>
      <c r="B13" s="4" t="s">
        <v>101</v>
      </c>
      <c r="C13" s="5" t="s">
        <v>41</v>
      </c>
      <c r="D13" s="4" t="s">
        <v>42</v>
      </c>
      <c r="E13" s="5"/>
      <c r="F13" s="5" t="s">
        <v>86</v>
      </c>
      <c r="G13" s="5" t="s">
        <v>93</v>
      </c>
      <c r="H13" s="5" t="s">
        <v>88</v>
      </c>
      <c r="I13" s="5" t="s">
        <v>88</v>
      </c>
      <c r="J13" s="6">
        <f t="shared" si="0"/>
        <v>19828</v>
      </c>
      <c r="K13" s="6">
        <v>15352</v>
      </c>
      <c r="L13" s="6">
        <v>4476</v>
      </c>
      <c r="M13" s="6">
        <v>1780</v>
      </c>
      <c r="N13" s="6">
        <v>2227</v>
      </c>
      <c r="O13" s="6">
        <v>116</v>
      </c>
      <c r="P13" s="5"/>
      <c r="Q13" s="5"/>
      <c r="R13" s="5"/>
      <c r="S13" s="6">
        <v>5529</v>
      </c>
      <c r="T13" s="6">
        <v>650</v>
      </c>
      <c r="U13" s="6">
        <v>5050</v>
      </c>
    </row>
    <row r="14" spans="1:21">
      <c r="A14" s="3">
        <v>14</v>
      </c>
      <c r="B14" s="4" t="s">
        <v>102</v>
      </c>
      <c r="C14" s="5" t="s">
        <v>43</v>
      </c>
      <c r="D14" s="4" t="s">
        <v>44</v>
      </c>
      <c r="E14" s="5"/>
      <c r="F14" s="5" t="s">
        <v>86</v>
      </c>
      <c r="G14" s="5" t="s">
        <v>103</v>
      </c>
      <c r="H14" s="5" t="s">
        <v>88</v>
      </c>
      <c r="I14" s="5" t="s">
        <v>88</v>
      </c>
      <c r="J14" s="6">
        <f t="shared" si="0"/>
        <v>18470</v>
      </c>
      <c r="K14" s="6">
        <v>14555</v>
      </c>
      <c r="L14" s="6">
        <v>3915</v>
      </c>
      <c r="M14" s="6">
        <v>1570</v>
      </c>
      <c r="N14" s="6">
        <v>1945</v>
      </c>
      <c r="O14" s="6">
        <v>116</v>
      </c>
      <c r="P14" s="5"/>
      <c r="Q14" s="6">
        <v>130</v>
      </c>
      <c r="R14" s="5"/>
      <c r="S14" s="6">
        <v>5444</v>
      </c>
      <c r="T14" s="6">
        <v>650</v>
      </c>
      <c r="U14" s="6">
        <v>4700</v>
      </c>
    </row>
    <row r="15" spans="1:21">
      <c r="A15" s="3">
        <v>15</v>
      </c>
      <c r="B15" s="4" t="s">
        <v>104</v>
      </c>
      <c r="C15" s="5" t="s">
        <v>45</v>
      </c>
      <c r="D15" s="4" t="s">
        <v>46</v>
      </c>
      <c r="E15" s="5"/>
      <c r="F15" s="5" t="s">
        <v>105</v>
      </c>
      <c r="G15" s="5" t="s">
        <v>90</v>
      </c>
      <c r="H15" s="5" t="s">
        <v>88</v>
      </c>
      <c r="I15" s="5" t="s">
        <v>88</v>
      </c>
      <c r="J15" s="6">
        <f t="shared" si="0"/>
        <v>23998</v>
      </c>
      <c r="K15" s="6">
        <v>18185</v>
      </c>
      <c r="L15" s="6">
        <v>5813</v>
      </c>
      <c r="M15" s="6">
        <v>2160</v>
      </c>
      <c r="N15" s="6">
        <v>3045</v>
      </c>
      <c r="O15" s="6">
        <v>116</v>
      </c>
      <c r="P15" s="5"/>
      <c r="Q15" s="5"/>
      <c r="R15" s="5"/>
      <c r="S15" s="6">
        <v>5864</v>
      </c>
      <c r="T15" s="6">
        <v>1040</v>
      </c>
      <c r="U15" s="6">
        <v>5960</v>
      </c>
    </row>
    <row r="16" spans="1:21">
      <c r="A16" s="3">
        <v>16</v>
      </c>
      <c r="B16" s="4" t="s">
        <v>106</v>
      </c>
      <c r="C16" s="5" t="s">
        <v>47</v>
      </c>
      <c r="D16" s="4" t="s">
        <v>48</v>
      </c>
      <c r="E16" s="5"/>
      <c r="F16" s="5" t="s">
        <v>86</v>
      </c>
      <c r="G16" s="5" t="s">
        <v>87</v>
      </c>
      <c r="H16" s="5" t="s">
        <v>88</v>
      </c>
      <c r="I16" s="5" t="s">
        <v>88</v>
      </c>
      <c r="J16" s="6">
        <f t="shared" si="0"/>
        <v>29337</v>
      </c>
      <c r="K16" s="6">
        <v>22463</v>
      </c>
      <c r="L16" s="6">
        <v>6874</v>
      </c>
      <c r="M16" s="6">
        <v>2770</v>
      </c>
      <c r="N16" s="6">
        <v>3401</v>
      </c>
      <c r="O16" s="6">
        <v>116</v>
      </c>
      <c r="P16" s="6">
        <v>5</v>
      </c>
      <c r="Q16" s="5"/>
      <c r="R16" s="5"/>
      <c r="S16" s="6">
        <v>7951</v>
      </c>
      <c r="T16" s="6">
        <v>1040</v>
      </c>
      <c r="U16" s="6">
        <v>7180</v>
      </c>
    </row>
    <row r="17" spans="1:21">
      <c r="A17" s="3">
        <v>17</v>
      </c>
      <c r="B17" s="4" t="s">
        <v>107</v>
      </c>
      <c r="C17" s="5" t="s">
        <v>49</v>
      </c>
      <c r="D17" s="4" t="s">
        <v>50</v>
      </c>
      <c r="E17" s="5"/>
      <c r="F17" s="5" t="s">
        <v>86</v>
      </c>
      <c r="G17" s="5" t="s">
        <v>108</v>
      </c>
      <c r="H17" s="5" t="s">
        <v>88</v>
      </c>
      <c r="I17" s="5" t="s">
        <v>88</v>
      </c>
      <c r="J17" s="6">
        <f t="shared" si="0"/>
        <v>17447</v>
      </c>
      <c r="K17" s="6">
        <v>13870</v>
      </c>
      <c r="L17" s="6">
        <v>3577</v>
      </c>
      <c r="M17" s="6">
        <v>1410</v>
      </c>
      <c r="N17" s="6">
        <v>1806</v>
      </c>
      <c r="O17" s="6">
        <v>116</v>
      </c>
      <c r="P17" s="5"/>
      <c r="Q17" s="5"/>
      <c r="R17" s="5"/>
      <c r="S17" s="6">
        <v>5438</v>
      </c>
      <c r="T17" s="6">
        <v>650</v>
      </c>
      <c r="U17" s="6">
        <v>4450</v>
      </c>
    </row>
    <row r="18" spans="1:21">
      <c r="A18" s="3">
        <v>18</v>
      </c>
      <c r="B18" s="4" t="s">
        <v>109</v>
      </c>
      <c r="C18" s="5" t="s">
        <v>51</v>
      </c>
      <c r="D18" s="4" t="s">
        <v>52</v>
      </c>
      <c r="E18" s="5"/>
      <c r="F18" s="5" t="s">
        <v>105</v>
      </c>
      <c r="G18" s="5" t="s">
        <v>110</v>
      </c>
      <c r="H18" s="5" t="s">
        <v>88</v>
      </c>
      <c r="I18" s="5" t="s">
        <v>88</v>
      </c>
      <c r="J18" s="6">
        <f t="shared" si="0"/>
        <v>18310</v>
      </c>
      <c r="K18" s="6">
        <v>14293</v>
      </c>
      <c r="L18" s="6">
        <f>750+3267</f>
        <v>4017</v>
      </c>
      <c r="M18" s="6">
        <v>1270</v>
      </c>
      <c r="N18" s="6">
        <v>1676</v>
      </c>
      <c r="O18" s="6">
        <v>116</v>
      </c>
      <c r="P18" s="5"/>
      <c r="Q18" s="5"/>
      <c r="R18" s="6">
        <v>750</v>
      </c>
      <c r="S18" s="6">
        <v>5431</v>
      </c>
      <c r="T18" s="6">
        <v>650</v>
      </c>
      <c r="U18" s="6">
        <v>4400</v>
      </c>
    </row>
    <row r="19" spans="1:21">
      <c r="A19" s="3">
        <v>1</v>
      </c>
      <c r="B19" s="4" t="s">
        <v>89</v>
      </c>
      <c r="C19" s="5" t="s">
        <v>5</v>
      </c>
      <c r="D19" s="4" t="s">
        <v>6</v>
      </c>
      <c r="E19" s="5"/>
      <c r="F19" s="5" t="s">
        <v>111</v>
      </c>
      <c r="G19" s="5" t="s">
        <v>87</v>
      </c>
      <c r="H19" s="5" t="s">
        <v>88</v>
      </c>
      <c r="I19" s="5" t="s">
        <v>88</v>
      </c>
      <c r="J19" s="6">
        <f>K19+L19</f>
        <v>29121</v>
      </c>
      <c r="K19" s="6">
        <v>21513</v>
      </c>
      <c r="L19" s="6">
        <f>6819+789</f>
        <v>7608</v>
      </c>
      <c r="M19" s="6">
        <v>2770</v>
      </c>
      <c r="N19" s="6">
        <v>4049</v>
      </c>
      <c r="O19" s="5">
        <v>116</v>
      </c>
      <c r="P19" s="5"/>
      <c r="Q19" s="6"/>
      <c r="R19" s="6">
        <v>6618</v>
      </c>
      <c r="S19" s="6">
        <v>1040</v>
      </c>
      <c r="T19" s="7">
        <v>6920</v>
      </c>
      <c r="U19" s="1"/>
    </row>
    <row r="20" spans="1:21">
      <c r="A20" s="3">
        <v>2</v>
      </c>
      <c r="B20" s="4" t="s">
        <v>112</v>
      </c>
      <c r="C20" s="5" t="s">
        <v>7</v>
      </c>
      <c r="D20" s="4" t="s">
        <v>8</v>
      </c>
      <c r="E20" s="5"/>
      <c r="F20" s="5" t="s">
        <v>111</v>
      </c>
      <c r="G20" s="5" t="s">
        <v>87</v>
      </c>
      <c r="H20" s="5" t="s">
        <v>88</v>
      </c>
      <c r="I20" s="5" t="s">
        <v>88</v>
      </c>
      <c r="J20" s="6">
        <f t="shared" ref="J20:J25" si="1">K20+L20</f>
        <v>28529</v>
      </c>
      <c r="K20" s="6">
        <v>21237</v>
      </c>
      <c r="L20" s="6">
        <f>6543+749</f>
        <v>7292</v>
      </c>
      <c r="M20" s="6">
        <v>2770</v>
      </c>
      <c r="N20" s="6">
        <v>3773</v>
      </c>
      <c r="O20" s="5">
        <v>116</v>
      </c>
      <c r="P20" s="5"/>
      <c r="Q20" s="6"/>
      <c r="R20" s="6">
        <v>6618</v>
      </c>
      <c r="S20" s="6">
        <v>1040</v>
      </c>
      <c r="T20" s="7">
        <v>6920</v>
      </c>
      <c r="U20" s="1"/>
    </row>
    <row r="21" spans="1:21">
      <c r="A21" s="3">
        <v>3</v>
      </c>
      <c r="B21" s="4" t="s">
        <v>113</v>
      </c>
      <c r="C21" s="5" t="s">
        <v>9</v>
      </c>
      <c r="D21" s="4" t="s">
        <v>10</v>
      </c>
      <c r="E21" s="5"/>
      <c r="F21" s="5" t="s">
        <v>105</v>
      </c>
      <c r="G21" s="5" t="s">
        <v>93</v>
      </c>
      <c r="H21" s="5" t="s">
        <v>88</v>
      </c>
      <c r="I21" s="5" t="s">
        <v>88</v>
      </c>
      <c r="J21" s="6">
        <f t="shared" si="1"/>
        <v>22411</v>
      </c>
      <c r="K21" s="6">
        <v>16564</v>
      </c>
      <c r="L21" s="6">
        <f>5219+628</f>
        <v>5847</v>
      </c>
      <c r="M21" s="6">
        <v>1780</v>
      </c>
      <c r="N21" s="6">
        <v>3439</v>
      </c>
      <c r="O21" s="5">
        <v>116</v>
      </c>
      <c r="P21" s="5"/>
      <c r="Q21" s="6"/>
      <c r="R21" s="6">
        <v>5529</v>
      </c>
      <c r="S21" s="6">
        <v>650</v>
      </c>
      <c r="T21" s="7">
        <v>5050</v>
      </c>
      <c r="U21" s="1"/>
    </row>
    <row r="22" spans="1:21">
      <c r="A22" s="3">
        <v>4</v>
      </c>
      <c r="B22" s="4" t="s">
        <v>92</v>
      </c>
      <c r="C22" s="5" t="s">
        <v>11</v>
      </c>
      <c r="D22" s="4" t="s">
        <v>12</v>
      </c>
      <c r="E22" s="5"/>
      <c r="F22" s="5" t="s">
        <v>105</v>
      </c>
      <c r="G22" s="5" t="s">
        <v>93</v>
      </c>
      <c r="H22" s="5" t="s">
        <v>88</v>
      </c>
      <c r="I22" s="5" t="s">
        <v>88</v>
      </c>
      <c r="J22" s="6">
        <f t="shared" si="1"/>
        <v>20806</v>
      </c>
      <c r="K22" s="6">
        <v>15810</v>
      </c>
      <c r="L22" s="6">
        <f>4465+531</f>
        <v>4996</v>
      </c>
      <c r="M22" s="6">
        <v>1780</v>
      </c>
      <c r="N22" s="6">
        <v>2685</v>
      </c>
      <c r="O22" s="5">
        <v>116</v>
      </c>
      <c r="P22" s="5"/>
      <c r="Q22" s="6"/>
      <c r="R22" s="6">
        <v>5529</v>
      </c>
      <c r="S22" s="6">
        <v>650</v>
      </c>
      <c r="T22" s="7">
        <v>5050</v>
      </c>
      <c r="U22" s="1"/>
    </row>
    <row r="23" spans="1:21">
      <c r="A23" s="3">
        <v>5</v>
      </c>
      <c r="B23" s="4" t="s">
        <v>95</v>
      </c>
      <c r="C23" s="5" t="s">
        <v>13</v>
      </c>
      <c r="D23" s="4" t="s">
        <v>14</v>
      </c>
      <c r="E23" s="5"/>
      <c r="F23" s="5" t="s">
        <v>114</v>
      </c>
      <c r="G23" s="5" t="s">
        <v>115</v>
      </c>
      <c r="H23" s="5" t="s">
        <v>88</v>
      </c>
      <c r="I23" s="5" t="s">
        <v>88</v>
      </c>
      <c r="J23" s="6">
        <f t="shared" si="1"/>
        <v>17919</v>
      </c>
      <c r="K23" s="6">
        <v>14020</v>
      </c>
      <c r="L23" s="6">
        <f>3498+401</f>
        <v>3899</v>
      </c>
      <c r="M23" s="6">
        <v>1200</v>
      </c>
      <c r="N23" s="6">
        <v>2298</v>
      </c>
      <c r="O23" s="6">
        <v>116</v>
      </c>
      <c r="P23" s="5">
        <v>5</v>
      </c>
      <c r="Q23" s="6"/>
      <c r="R23" s="6">
        <v>5451</v>
      </c>
      <c r="S23" s="6">
        <v>500</v>
      </c>
      <c r="T23" s="7">
        <v>4450</v>
      </c>
      <c r="U23" s="1"/>
    </row>
    <row r="24" spans="1:21">
      <c r="A24" s="3">
        <v>6</v>
      </c>
      <c r="B24" s="4" t="s">
        <v>116</v>
      </c>
      <c r="C24" s="5" t="s">
        <v>15</v>
      </c>
      <c r="D24" s="4" t="s">
        <v>16</v>
      </c>
      <c r="E24" s="5"/>
      <c r="F24" s="5" t="s">
        <v>111</v>
      </c>
      <c r="G24" s="5" t="s">
        <v>87</v>
      </c>
      <c r="H24" s="5" t="s">
        <v>88</v>
      </c>
      <c r="I24" s="5" t="s">
        <v>88</v>
      </c>
      <c r="J24" s="6">
        <f t="shared" si="1"/>
        <v>31135</v>
      </c>
      <c r="K24" s="6">
        <v>23304</v>
      </c>
      <c r="L24" s="6">
        <f>7017+814</f>
        <v>7831</v>
      </c>
      <c r="M24" s="6">
        <v>2770</v>
      </c>
      <c r="N24" s="6">
        <v>4247</v>
      </c>
      <c r="O24" s="5">
        <v>116</v>
      </c>
      <c r="P24" s="5"/>
      <c r="Q24" s="6"/>
      <c r="R24" s="6">
        <v>7951</v>
      </c>
      <c r="S24" s="6">
        <v>1040</v>
      </c>
      <c r="T24" s="7">
        <v>7180</v>
      </c>
      <c r="U24" s="1"/>
    </row>
    <row r="25" spans="1:21">
      <c r="A25" s="3">
        <v>7</v>
      </c>
      <c r="B25" s="4" t="s">
        <v>99</v>
      </c>
      <c r="C25" s="5" t="s">
        <v>17</v>
      </c>
      <c r="D25" s="4" t="s">
        <v>18</v>
      </c>
      <c r="E25" s="5"/>
      <c r="F25" s="5" t="s">
        <v>111</v>
      </c>
      <c r="G25" s="5" t="s">
        <v>117</v>
      </c>
      <c r="H25" s="5" t="s">
        <v>88</v>
      </c>
      <c r="I25" s="5" t="s">
        <v>88</v>
      </c>
      <c r="J25" s="6">
        <f t="shared" si="1"/>
        <v>33823</v>
      </c>
      <c r="K25" s="6">
        <v>26481</v>
      </c>
      <c r="L25" s="6">
        <f>6593+749</f>
        <v>7342</v>
      </c>
      <c r="M25" s="6">
        <v>2940</v>
      </c>
      <c r="N25" s="6">
        <v>3653</v>
      </c>
      <c r="O25" s="6">
        <v>116</v>
      </c>
      <c r="P25" s="6">
        <v>5</v>
      </c>
      <c r="Q25" s="6">
        <v>200</v>
      </c>
      <c r="R25" s="6">
        <v>9617</v>
      </c>
      <c r="S25" s="6">
        <v>1690</v>
      </c>
      <c r="T25" s="7">
        <v>8260</v>
      </c>
      <c r="U25" s="1"/>
    </row>
    <row r="26" spans="1:21">
      <c r="A26" s="3">
        <v>1</v>
      </c>
      <c r="B26" s="4" t="s">
        <v>85</v>
      </c>
      <c r="C26" s="5" t="s">
        <v>53</v>
      </c>
      <c r="D26" s="8" t="s">
        <v>54</v>
      </c>
      <c r="E26" s="5"/>
      <c r="F26" s="5" t="s">
        <v>118</v>
      </c>
      <c r="G26" s="5" t="s">
        <v>119</v>
      </c>
      <c r="H26" s="5" t="s">
        <v>88</v>
      </c>
      <c r="I26" s="5" t="s">
        <v>88</v>
      </c>
      <c r="J26" s="9">
        <f>K26+L26</f>
        <v>17023</v>
      </c>
      <c r="K26" s="9">
        <v>13345</v>
      </c>
      <c r="L26" s="9">
        <v>3678</v>
      </c>
      <c r="M26" s="9">
        <v>1940</v>
      </c>
      <c r="N26" s="10">
        <v>1383</v>
      </c>
      <c r="O26" s="9"/>
      <c r="P26" s="9">
        <v>116</v>
      </c>
      <c r="Q26" s="9">
        <v>5</v>
      </c>
      <c r="R26" s="9">
        <v>3114</v>
      </c>
      <c r="S26" s="9">
        <v>4450</v>
      </c>
      <c r="T26" s="11">
        <v>2337</v>
      </c>
      <c r="U26" s="1"/>
    </row>
    <row r="27" spans="1:21">
      <c r="A27" s="3">
        <v>2</v>
      </c>
      <c r="B27" s="4" t="s">
        <v>89</v>
      </c>
      <c r="C27" s="5" t="s">
        <v>55</v>
      </c>
      <c r="D27" s="8" t="s">
        <v>56</v>
      </c>
      <c r="E27" s="5"/>
      <c r="F27" s="5" t="s">
        <v>120</v>
      </c>
      <c r="G27" s="5" t="s">
        <v>121</v>
      </c>
      <c r="H27" s="5" t="s">
        <v>88</v>
      </c>
      <c r="I27" s="5" t="s">
        <v>88</v>
      </c>
      <c r="J27" s="9">
        <f t="shared" ref="J27:J33" si="2">K27+L27</f>
        <v>21432</v>
      </c>
      <c r="K27" s="9">
        <v>16423</v>
      </c>
      <c r="L27" s="9">
        <v>5009</v>
      </c>
      <c r="M27" s="9">
        <v>2880</v>
      </c>
      <c r="N27" s="10">
        <v>1603</v>
      </c>
      <c r="O27" s="9"/>
      <c r="P27" s="10">
        <v>116</v>
      </c>
      <c r="Q27" s="9"/>
      <c r="R27" s="9">
        <v>3309</v>
      </c>
      <c r="S27" s="9">
        <v>5960</v>
      </c>
      <c r="T27" s="11">
        <v>2555</v>
      </c>
      <c r="U27" s="1"/>
    </row>
    <row r="28" spans="1:21">
      <c r="A28" s="3">
        <v>3</v>
      </c>
      <c r="B28" s="4" t="s">
        <v>95</v>
      </c>
      <c r="C28" s="5" t="s">
        <v>57</v>
      </c>
      <c r="D28" s="8" t="s">
        <v>58</v>
      </c>
      <c r="E28" s="5"/>
      <c r="F28" s="5" t="s">
        <v>120</v>
      </c>
      <c r="G28" s="5" t="s">
        <v>122</v>
      </c>
      <c r="H28" s="5" t="s">
        <v>88</v>
      </c>
      <c r="I28" s="5" t="s">
        <v>88</v>
      </c>
      <c r="J28" s="9">
        <f t="shared" si="2"/>
        <v>19002</v>
      </c>
      <c r="K28" s="9">
        <v>14557</v>
      </c>
      <c r="L28" s="9">
        <v>4445</v>
      </c>
      <c r="M28" s="9">
        <v>2520</v>
      </c>
      <c r="N28" s="10">
        <v>1427</v>
      </c>
      <c r="O28" s="9"/>
      <c r="P28" s="10">
        <v>116</v>
      </c>
      <c r="Q28" s="9"/>
      <c r="R28" s="9">
        <v>3124</v>
      </c>
      <c r="S28" s="9">
        <v>5050</v>
      </c>
      <c r="T28" s="11">
        <v>2320</v>
      </c>
      <c r="U28" s="1"/>
    </row>
    <row r="29" spans="1:21">
      <c r="A29" s="3">
        <v>4</v>
      </c>
      <c r="B29" s="4" t="s">
        <v>123</v>
      </c>
      <c r="C29" s="5" t="s">
        <v>59</v>
      </c>
      <c r="D29" s="8" t="s">
        <v>60</v>
      </c>
      <c r="E29" s="5"/>
      <c r="F29" s="5" t="s">
        <v>120</v>
      </c>
      <c r="G29" s="5" t="s">
        <v>124</v>
      </c>
      <c r="H29" s="5" t="s">
        <v>88</v>
      </c>
      <c r="I29" s="5" t="s">
        <v>88</v>
      </c>
      <c r="J29" s="9">
        <f t="shared" si="2"/>
        <v>25989</v>
      </c>
      <c r="K29" s="9">
        <v>19489</v>
      </c>
      <c r="L29" s="9">
        <v>6500</v>
      </c>
      <c r="M29" s="9">
        <v>3455</v>
      </c>
      <c r="N29" s="10">
        <v>2375</v>
      </c>
      <c r="O29" s="9"/>
      <c r="P29" s="9">
        <v>116</v>
      </c>
      <c r="Q29" s="9">
        <v>5</v>
      </c>
      <c r="R29" s="9">
        <v>3742</v>
      </c>
      <c r="S29" s="9">
        <v>6920</v>
      </c>
      <c r="T29" s="11">
        <v>2876</v>
      </c>
      <c r="U29" s="1"/>
    </row>
    <row r="30" spans="1:21">
      <c r="A30" s="3">
        <v>5</v>
      </c>
      <c r="B30" s="4" t="s">
        <v>99</v>
      </c>
      <c r="C30" s="5" t="s">
        <v>61</v>
      </c>
      <c r="D30" s="8" t="s">
        <v>62</v>
      </c>
      <c r="E30" s="5"/>
      <c r="F30" s="5" t="s">
        <v>120</v>
      </c>
      <c r="G30" s="5" t="s">
        <v>125</v>
      </c>
      <c r="H30" s="5" t="s">
        <v>88</v>
      </c>
      <c r="I30" s="5" t="s">
        <v>88</v>
      </c>
      <c r="J30" s="9">
        <f t="shared" si="2"/>
        <v>16617</v>
      </c>
      <c r="K30" s="9">
        <v>13131</v>
      </c>
      <c r="L30" s="9">
        <v>3486</v>
      </c>
      <c r="M30" s="9">
        <v>2200</v>
      </c>
      <c r="N30" s="10">
        <v>934</v>
      </c>
      <c r="O30" s="9"/>
      <c r="P30" s="10">
        <v>116</v>
      </c>
      <c r="Q30" s="9"/>
      <c r="R30" s="9">
        <v>3099</v>
      </c>
      <c r="S30" s="9">
        <v>4450</v>
      </c>
      <c r="T30" s="11">
        <v>2332</v>
      </c>
      <c r="U30" s="1"/>
    </row>
    <row r="31" spans="1:21">
      <c r="A31" s="3">
        <v>6</v>
      </c>
      <c r="B31" s="4" t="s">
        <v>126</v>
      </c>
      <c r="C31" s="5" t="s">
        <v>63</v>
      </c>
      <c r="D31" s="8" t="s">
        <v>64</v>
      </c>
      <c r="E31" s="5"/>
      <c r="F31" s="5" t="s">
        <v>120</v>
      </c>
      <c r="G31" s="5" t="s">
        <v>125</v>
      </c>
      <c r="H31" s="5" t="s">
        <v>88</v>
      </c>
      <c r="I31" s="5" t="s">
        <v>88</v>
      </c>
      <c r="J31" s="9">
        <f t="shared" si="2"/>
        <v>16411</v>
      </c>
      <c r="K31" s="9">
        <v>13010</v>
      </c>
      <c r="L31" s="9">
        <v>3401</v>
      </c>
      <c r="M31" s="9">
        <v>2200</v>
      </c>
      <c r="N31" s="10">
        <v>863</v>
      </c>
      <c r="O31" s="9"/>
      <c r="P31" s="10">
        <v>116</v>
      </c>
      <c r="Q31" s="9"/>
      <c r="R31" s="9">
        <v>3099</v>
      </c>
      <c r="S31" s="9">
        <v>4400</v>
      </c>
      <c r="T31" s="11">
        <v>2332</v>
      </c>
      <c r="U31" s="1"/>
    </row>
    <row r="32" spans="1:21">
      <c r="A32" s="3">
        <v>7</v>
      </c>
      <c r="B32" s="4" t="s">
        <v>127</v>
      </c>
      <c r="C32" s="5" t="s">
        <v>65</v>
      </c>
      <c r="D32" s="8" t="s">
        <v>66</v>
      </c>
      <c r="E32" s="5"/>
      <c r="F32" s="5" t="s">
        <v>120</v>
      </c>
      <c r="G32" s="5" t="s">
        <v>125</v>
      </c>
      <c r="H32" s="5" t="s">
        <v>88</v>
      </c>
      <c r="I32" s="5" t="s">
        <v>88</v>
      </c>
      <c r="J32" s="9">
        <f t="shared" si="2"/>
        <v>16411</v>
      </c>
      <c r="K32" s="9">
        <v>13010</v>
      </c>
      <c r="L32" s="9">
        <v>3401</v>
      </c>
      <c r="M32" s="9">
        <v>2200</v>
      </c>
      <c r="N32" s="10">
        <v>863</v>
      </c>
      <c r="O32" s="9"/>
      <c r="P32" s="10">
        <v>116</v>
      </c>
      <c r="Q32" s="9"/>
      <c r="R32" s="9">
        <v>3099</v>
      </c>
      <c r="S32" s="9">
        <v>4400</v>
      </c>
      <c r="T32" s="11">
        <v>2332</v>
      </c>
      <c r="U32" s="1"/>
    </row>
    <row r="33" spans="1:21">
      <c r="A33" s="3">
        <v>8</v>
      </c>
      <c r="B33" s="4" t="s">
        <v>101</v>
      </c>
      <c r="C33" s="5" t="s">
        <v>67</v>
      </c>
      <c r="D33" s="8" t="s">
        <v>68</v>
      </c>
      <c r="E33" s="5"/>
      <c r="F33" s="5" t="s">
        <v>120</v>
      </c>
      <c r="G33" s="5" t="s">
        <v>128</v>
      </c>
      <c r="H33" s="5" t="s">
        <v>88</v>
      </c>
      <c r="I33" s="5" t="s">
        <v>88</v>
      </c>
      <c r="J33" s="9">
        <f t="shared" si="2"/>
        <v>9924</v>
      </c>
      <c r="K33" s="9">
        <v>9634</v>
      </c>
      <c r="L33" s="9">
        <v>290</v>
      </c>
      <c r="M33" s="10"/>
      <c r="N33" s="9"/>
      <c r="O33" s="9">
        <v>2650</v>
      </c>
      <c r="P33" s="10">
        <v>116</v>
      </c>
      <c r="Q33" s="9"/>
      <c r="R33" s="9">
        <v>1502</v>
      </c>
      <c r="S33" s="9">
        <v>4350</v>
      </c>
      <c r="T33" s="11">
        <v>1016</v>
      </c>
      <c r="U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Xu</dc:creator>
  <cp:lastModifiedBy>Mingyang Xu</cp:lastModifiedBy>
  <dcterms:created xsi:type="dcterms:W3CDTF">2025-06-16T11:56:21Z</dcterms:created>
  <dcterms:modified xsi:type="dcterms:W3CDTF">2025-06-16T13:49:57Z</dcterms:modified>
</cp:coreProperties>
</file>