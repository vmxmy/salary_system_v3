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/>
  </bookViews>
  <sheets>
    <sheet name="工资双薪" sheetId="2" r:id="rId1"/>
    <sheet name="变动花名册" sheetId="1" r:id="rId2"/>
  </sheets>
  <definedNames>
    <definedName name="_xlnm.Print_Titles" localSheetId="1">变动花名册!$1:$2</definedName>
  </definedNames>
  <calcPr calcId="144525"/>
</workbook>
</file>

<file path=xl/sharedStrings.xml><?xml version="1.0" encoding="utf-8"?>
<sst xmlns="http://schemas.openxmlformats.org/spreadsheetml/2006/main" count="423" uniqueCount="111">
  <si>
    <t>2025年02月工资基金 机关工资发放表</t>
  </si>
  <si>
    <t>单位名称：高新区财政国资局(参公人员）</t>
  </si>
  <si>
    <t>单位：元</t>
  </si>
  <si>
    <t>经办人签字:</t>
  </si>
  <si>
    <t>制表时间：2025.1.16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</si>
  <si>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</si>
  <si>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</si>
  <si>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</si>
  <si>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</si>
  <si>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</si>
  <si>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</si>
  <si>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</si>
  <si>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</si>
  <si>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</si>
  <si>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</si>
  <si>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</si>
  <si>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</si>
  <si>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职务/技术等级 工资</t>
  </si>
  <si>
    <t>级别/岗位级别 工资</t>
  </si>
  <si>
    <t>93年工改保留补贴</t>
  </si>
  <si>
    <t>独生子女父母奖励金</t>
  </si>
  <si>
    <t>信访工作人员岗位津贴</t>
  </si>
  <si>
    <t>乡镇工作补贴</t>
  </si>
  <si>
    <t>公务员规范性津贴补贴</t>
  </si>
  <si>
    <t>公务交通补贴</t>
  </si>
  <si>
    <t>基础绩效奖</t>
  </si>
  <si>
    <t>00002</t>
  </si>
  <si>
    <t>熊静</t>
  </si>
  <si>
    <t>510102197005034083</t>
  </si>
  <si>
    <t>参公人员</t>
  </si>
  <si>
    <t>县处级正职</t>
  </si>
  <si>
    <t>是</t>
  </si>
  <si>
    <t>00003</t>
  </si>
  <si>
    <t>方敬玉</t>
  </si>
  <si>
    <t>510102196903083202</t>
  </si>
  <si>
    <t>县处级副职</t>
  </si>
  <si>
    <t>00005</t>
  </si>
  <si>
    <t>高洪艳</t>
  </si>
  <si>
    <t>510103197106094225</t>
  </si>
  <si>
    <t>00008</t>
  </si>
  <si>
    <t>罗蓉</t>
  </si>
  <si>
    <t>510106197511143528</t>
  </si>
  <si>
    <t>一级主任科员</t>
  </si>
  <si>
    <t>00009</t>
  </si>
  <si>
    <t>杨洋</t>
  </si>
  <si>
    <t>510106197512164128</t>
  </si>
  <si>
    <t>00010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</si>
  <si>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</si>
  <si>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</si>
  <si>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</si>
  <si>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</si>
  <si>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</si>
  <si>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</si>
  <si>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</si>
  <si>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</si>
  <si>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</si>
  <si>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</si>
  <si>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</si>
  <si>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00017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</si>
  <si>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</si>
  <si>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</si>
  <si>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</si>
  <si>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</si>
  <si>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</si>
  <si>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</si>
  <si>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</si>
  <si>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</si>
  <si>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</si>
  <si>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</si>
  <si>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</si>
  <si>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</si>
  <si>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</si>
  <si>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</si>
  <si>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</si>
  <si>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综合类公务员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</si>
  <si>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</si>
  <si>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</si>
  <si>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</si>
  <si>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</si>
  <si>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</si>
  <si>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</si>
  <si>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</si>
  <si>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</si>
  <si>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</si>
  <si>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</si>
  <si>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</si>
  <si>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备注：1、2024年7月工资调标，2024年7-12月工资已单独补发，本月补发1月工资。</t>
  </si>
  <si>
    <t xml:space="preserve">      2、本月发放年终一次性奖金。</t>
  </si>
  <si>
    <t xml:space="preserve">      3、田原2025年1月驻村，根据文件通知，从1月起发放驻村补贴750元/月，补发1月驻村补贴。</t>
  </si>
  <si>
    <t xml:space="preserve">      4、因2月工资管理系统工资调标，人员工资关系转接会影响系统调标数据，故2月工资在原单位发放，3月再进行人员工资基金的转接。</t>
  </si>
  <si>
    <t>单位负责人：</t>
  </si>
  <si>
    <t>分管负责人：</t>
  </si>
  <si>
    <t>财务负责人：</t>
  </si>
  <si>
    <t>审核 ：</t>
  </si>
  <si>
    <t>2025年02月工资基金 机关变动花名册</t>
  </si>
  <si>
    <t>变动原因</t>
  </si>
  <si>
    <t>变动前后</t>
  </si>
  <si>
    <t>级别/档次/薪级</t>
  </si>
  <si>
    <t>增资小计</t>
  </si>
  <si>
    <t>起停薪时间</t>
  </si>
  <si>
    <t>|工资调标(2024)系统补发|_2025年度补发</t>
  </si>
  <si>
    <t>增减资</t>
  </si>
  <si>
    <t/>
  </si>
  <si>
    <t>年终一次性奖金</t>
  </si>
  <si>
    <t>其他变动</t>
  </si>
  <si>
    <t>变动前</t>
  </si>
  <si>
    <t>24-3</t>
  </si>
  <si>
    <t>变动后</t>
  </si>
  <si>
    <t>填报单位（章）：
         高新区财政国资局(参公人员）
填报人：沈丽萍</t>
  </si>
  <si>
    <t xml:space="preserve">主管部门审核意见（章）：
审核人：
审核时间： 
联系电话： </t>
  </si>
  <si>
    <t xml:space="preserve">审批机关意见（章）：
审核人：
审核时间： 
联系电话：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</si>
</sst>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22" fillId="2" borderId="5" applyNumberFormat="0" applyAlignment="0" applyProtection="0">
      <alignment vertical="center"/>
    </xf>
    <xf numFmtId="0" fontId="21" fillId="27" borderId="9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vertical="center" wrapText="1" shrinkToFit="1"/>
    </xf>
    <xf numFmtId="0" fontId="0" fillId="0" borderId="1" xfId="0" applyBorder="1" applyAlignment="1">
      <alignment vertical="center" shrinkToFit="1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vertical="center" shrinkToFi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shrinkToFi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shrinkToFit="1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1" xfId="0" applyFill="1" applyBorder="1" applyAlignment="1">
      <alignment vertical="center" shrinkToFit="1"/>
    </xf>
    <xf numFmtId="0" fontId="2" fillId="0" borderId="0" xfId="0" applyFont="1" applyFill="1" applyAlignment="1">
      <alignment horizontal="center" vertical="center" shrinkToFit="1"/>
    </xf>
    <xf numFmtId="0" fontId="2" fillId="0" borderId="0" xfId="0" applyFont="1" applyFill="1" applyAlignment="1">
      <alignment horizontal="center" vertical="center" shrinkToFit="1"/>
    </xf>
    <xf numFmtId="0" fontId="0" fillId="0" borderId="0" xfId="0" applyAlignment="1">
      <alignment vertical="center"/>
    </xf>
    <xf numFmtId="0" fontId="2" fillId="0" borderId="1" xfId="0" applyFont="1" applyFill="1" applyBorder="1" applyAlignment="1" quotePrefix="1">
      <alignment vertical="center" shrinkToFit="1"/>
    </xf>
    <xf numFmtId="0" fontId="2" fillId="0" borderId="1" xfId="0" applyFont="1" applyBorder="1" applyAlignment="1" quotePrefix="1">
      <alignment horizontal="center" vertical="center" wrapText="1"/>
    </xf>
    <xf numFmtId="0" fontId="2" fillId="0" borderId="1" xfId="0" applyFont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workbookViewId="0">
      <selection activeCell="R11" sqref="R11"/>
    </sheetView>
  </sheetViews>
  <sheetFormatPr defaultColWidth="8.88888888888889" defaultRowHeight="14.4"/>
  <cols>
    <col min="1" max="1" width="4.77777777777778" style="15" customWidth="1"/>
    <col min="2" max="2" width="5.77777777777778" style="9" hidden="1" customWidth="1"/>
    <col min="3" max="3" width="9" style="9" customWidth="1"/>
    <col min="4" max="4" width="14.4444444444444" style="9" customWidth="1"/>
    <col min="5" max="5" width="5.77777777777778" style="9" hidden="1" customWidth="1"/>
    <col min="6" max="6" width="8.66666666666667" style="9" customWidth="1"/>
    <col min="7" max="7" width="12.2222222222222" style="9" customWidth="1"/>
    <col min="8" max="9" width="5.77777777777778" style="9" hidden="1" customWidth="1"/>
    <col min="10" max="15" width="7.66666666666667" style="9" customWidth="1"/>
    <col min="16" max="16" width="6.22222222222222" style="9" customWidth="1"/>
    <col min="17" max="17" width="6" style="9" customWidth="1"/>
    <col min="18" max="18" width="6.55555555555556" style="9" customWidth="1"/>
    <col min="19" max="21" width="7.66666666666667" style="9" customWidth="1"/>
    <col min="22" max="16384" width="8.88888888888889" style="9"/>
  </cols>
  <sheetData>
    <row r="1" s="9" customFormat="1" ht="30" customHeight="1" spans="1:2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="10" customFormat="1" ht="18" customHeight="1" spans="1:20">
      <c r="A2" s="18" t="s">
        <v>1</v>
      </c>
      <c r="G2" s="19" t="s">
        <v>2</v>
      </c>
      <c r="J2" s="19" t="s">
        <v>3</v>
      </c>
      <c r="R2" s="29" t="s">
        <v>4</v>
      </c>
      <c r="S2" s="30"/>
      <c r="T2" s="30"/>
    </row>
    <row r="3" s="11" customFormat="1" ht="71" customHeight="1" spans="1:21">
      <c r="A3" s="20" t="s">
        <v>5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11</v>
      </c>
      <c r="H3" s="20" t="s">
        <v>12</v>
      </c>
      <c r="I3" s="20" t="s">
        <v>13</v>
      </c>
      <c r="J3" s="20" t="s">
        <v>14</v>
      </c>
      <c r="K3" s="20" t="s">
        <v>15</v>
      </c>
      <c r="L3" s="20" t="s">
        <v>16</v>
      </c>
      <c r="M3" s="20" t="s">
        <v>17</v>
      </c>
      <c r="N3" s="20" t="s">
        <v>18</v>
      </c>
      <c r="O3" s="20" t="s">
        <v>19</v>
      </c>
      <c r="P3" s="20" t="s">
        <v>20</v>
      </c>
      <c r="Q3" s="20" t="s">
        <v>21</v>
      </c>
      <c r="R3" s="20" t="s">
        <v>22</v>
      </c>
      <c r="S3" s="20" t="s">
        <v>23</v>
      </c>
      <c r="T3" s="20" t="s">
        <v>24</v>
      </c>
      <c r="U3" s="20" t="s">
        <v>25</v>
      </c>
    </row>
    <row r="4" s="12" customFormat="1" ht="15" customHeight="1" spans="1:21">
      <c r="A4" s="21" t="s">
        <v>14</v>
      </c>
      <c r="B4" s="21"/>
      <c r="C4" s="21"/>
      <c r="D4" s="21"/>
      <c r="E4" s="21"/>
      <c r="F4" s="21"/>
      <c r="G4" s="21"/>
      <c r="H4" s="21"/>
      <c r="I4" s="28">
        <f t="shared" ref="I4:U4" si="0">SUM(I5:I23)</f>
        <v>0</v>
      </c>
      <c r="J4" s="28">
        <f t="shared" si="0"/>
        <v>382235</v>
      </c>
      <c r="K4" s="28">
        <f t="shared" si="0"/>
        <v>290034</v>
      </c>
      <c r="L4" s="28">
        <f t="shared" si="0"/>
        <v>92201</v>
      </c>
      <c r="M4" s="28">
        <f t="shared" si="0"/>
        <v>33050</v>
      </c>
      <c r="N4" s="28">
        <f t="shared" si="0"/>
        <v>48829</v>
      </c>
      <c r="O4" s="28">
        <f t="shared" si="0"/>
        <v>1972</v>
      </c>
      <c r="P4" s="28">
        <f t="shared" si="0"/>
        <v>20</v>
      </c>
      <c r="Q4" s="28">
        <f t="shared" si="0"/>
        <v>130</v>
      </c>
      <c r="R4" s="28">
        <f t="shared" si="0"/>
        <v>750</v>
      </c>
      <c r="S4" s="28">
        <f t="shared" si="0"/>
        <v>99663</v>
      </c>
      <c r="T4" s="28">
        <f t="shared" si="0"/>
        <v>13780</v>
      </c>
      <c r="U4" s="28">
        <f t="shared" si="0"/>
        <v>91840</v>
      </c>
    </row>
    <row r="5" s="9" customFormat="1" ht="15" customHeight="1" spans="1:21">
      <c r="A5" s="22">
        <v>1</v>
      </c>
      <c r="B5" s="32" t="s">
        <v>26</v>
      </c>
      <c r="C5" s="23" t="s">
        <v>27</v>
      </c>
      <c r="D5" s="32" t="s">
        <v>28</v>
      </c>
      <c r="E5" s="23"/>
      <c r="F5" s="23" t="s">
        <v>29</v>
      </c>
      <c r="G5" s="23" t="s">
        <v>30</v>
      </c>
      <c r="H5" s="23" t="s">
        <v>31</v>
      </c>
      <c r="I5" s="23" t="s">
        <v>31</v>
      </c>
      <c r="J5" s="28">
        <f>K5+L5</f>
        <v>30070</v>
      </c>
      <c r="K5" s="28">
        <v>22239</v>
      </c>
      <c r="L5" s="6">
        <v>7831</v>
      </c>
      <c r="M5" s="28">
        <v>2770</v>
      </c>
      <c r="N5" s="28">
        <v>4247</v>
      </c>
      <c r="O5" s="28">
        <v>116</v>
      </c>
      <c r="P5" s="23"/>
      <c r="Q5" s="23"/>
      <c r="R5" s="23"/>
      <c r="S5" s="28">
        <v>7626</v>
      </c>
      <c r="T5" s="28">
        <v>1040</v>
      </c>
      <c r="U5" s="28">
        <v>6440</v>
      </c>
    </row>
    <row r="6" s="9" customFormat="1" ht="15" customHeight="1" spans="1:21">
      <c r="A6" s="22">
        <v>2</v>
      </c>
      <c r="B6" s="32" t="s">
        <v>32</v>
      </c>
      <c r="C6" s="23" t="s">
        <v>33</v>
      </c>
      <c r="D6" s="32" t="s">
        <v>34</v>
      </c>
      <c r="E6" s="23"/>
      <c r="F6" s="23" t="s">
        <v>29</v>
      </c>
      <c r="G6" s="23" t="s">
        <v>35</v>
      </c>
      <c r="H6" s="23" t="s">
        <v>31</v>
      </c>
      <c r="I6" s="23" t="s">
        <v>31</v>
      </c>
      <c r="J6" s="28">
        <f t="shared" ref="J6:J21" si="1">K6+L6</f>
        <v>25018</v>
      </c>
      <c r="K6" s="28">
        <v>18278</v>
      </c>
      <c r="L6" s="6">
        <v>6740</v>
      </c>
      <c r="M6" s="28">
        <v>2160</v>
      </c>
      <c r="N6" s="28">
        <v>3868</v>
      </c>
      <c r="O6" s="28">
        <v>116</v>
      </c>
      <c r="P6" s="23"/>
      <c r="Q6" s="23"/>
      <c r="R6" s="23"/>
      <c r="S6" s="28">
        <v>5614</v>
      </c>
      <c r="T6" s="28">
        <v>1040</v>
      </c>
      <c r="U6" s="28">
        <v>5480</v>
      </c>
    </row>
    <row r="7" s="9" customFormat="1" ht="15" customHeight="1" spans="1:21">
      <c r="A7" s="22">
        <v>3</v>
      </c>
      <c r="B7" s="32" t="s">
        <v>36</v>
      </c>
      <c r="C7" s="23" t="s">
        <v>37</v>
      </c>
      <c r="D7" s="32" t="s">
        <v>38</v>
      </c>
      <c r="E7" s="23"/>
      <c r="F7" s="23" t="s">
        <v>29</v>
      </c>
      <c r="G7" s="23" t="s">
        <v>35</v>
      </c>
      <c r="H7" s="23" t="s">
        <v>31</v>
      </c>
      <c r="I7" s="23" t="s">
        <v>31</v>
      </c>
      <c r="J7" s="28">
        <f t="shared" si="1"/>
        <v>25004</v>
      </c>
      <c r="K7" s="28">
        <v>18658</v>
      </c>
      <c r="L7" s="6">
        <v>6346</v>
      </c>
      <c r="M7" s="28">
        <v>2160</v>
      </c>
      <c r="N7" s="28">
        <v>3518</v>
      </c>
      <c r="O7" s="28">
        <v>116</v>
      </c>
      <c r="P7" s="23"/>
      <c r="Q7" s="23"/>
      <c r="R7" s="23"/>
      <c r="S7" s="28">
        <v>5864</v>
      </c>
      <c r="T7" s="28">
        <v>1040</v>
      </c>
      <c r="U7" s="28">
        <v>5960</v>
      </c>
    </row>
    <row r="8" s="9" customFormat="1" ht="15" customHeight="1" spans="1:21">
      <c r="A8" s="22">
        <v>5</v>
      </c>
      <c r="B8" s="32" t="s">
        <v>39</v>
      </c>
      <c r="C8" s="23" t="s">
        <v>40</v>
      </c>
      <c r="D8" s="32" t="s">
        <v>41</v>
      </c>
      <c r="E8" s="23"/>
      <c r="F8" s="23" t="s">
        <v>29</v>
      </c>
      <c r="G8" s="23" t="s">
        <v>42</v>
      </c>
      <c r="H8" s="23" t="s">
        <v>31</v>
      </c>
      <c r="I8" s="23" t="s">
        <v>31</v>
      </c>
      <c r="J8" s="28">
        <f t="shared" si="1"/>
        <v>21578</v>
      </c>
      <c r="K8" s="28">
        <v>16175</v>
      </c>
      <c r="L8" s="6">
        <v>5403</v>
      </c>
      <c r="M8" s="28">
        <v>1780</v>
      </c>
      <c r="N8" s="28">
        <v>3045</v>
      </c>
      <c r="O8" s="28">
        <v>116</v>
      </c>
      <c r="P8" s="28">
        <v>5</v>
      </c>
      <c r="Q8" s="23"/>
      <c r="R8" s="23"/>
      <c r="S8" s="28">
        <v>5529</v>
      </c>
      <c r="T8" s="28">
        <v>650</v>
      </c>
      <c r="U8" s="28">
        <v>5050</v>
      </c>
    </row>
    <row r="9" s="9" customFormat="1" ht="15" customHeight="1" spans="1:21">
      <c r="A9" s="22">
        <v>6</v>
      </c>
      <c r="B9" s="32" t="s">
        <v>43</v>
      </c>
      <c r="C9" s="23" t="s">
        <v>44</v>
      </c>
      <c r="D9" s="32" t="s">
        <v>45</v>
      </c>
      <c r="E9" s="23"/>
      <c r="F9" s="23" t="s">
        <v>29</v>
      </c>
      <c r="G9" s="23" t="s">
        <v>42</v>
      </c>
      <c r="H9" s="23" t="s">
        <v>31</v>
      </c>
      <c r="I9" s="23" t="s">
        <v>31</v>
      </c>
      <c r="J9" s="28">
        <f t="shared" si="1"/>
        <v>21899</v>
      </c>
      <c r="K9" s="28">
        <v>16323</v>
      </c>
      <c r="L9" s="6">
        <v>5576</v>
      </c>
      <c r="M9" s="28">
        <v>1780</v>
      </c>
      <c r="N9" s="28">
        <v>3198</v>
      </c>
      <c r="O9" s="28">
        <v>116</v>
      </c>
      <c r="P9" s="23"/>
      <c r="Q9" s="23"/>
      <c r="R9" s="23"/>
      <c r="S9" s="28">
        <v>5529</v>
      </c>
      <c r="T9" s="28">
        <v>650</v>
      </c>
      <c r="U9" s="28">
        <v>5050</v>
      </c>
    </row>
    <row r="10" s="9" customFormat="1" ht="15" customHeight="1" spans="1:21">
      <c r="A10" s="22">
        <v>7</v>
      </c>
      <c r="B10" s="32" t="s">
        <v>46</v>
      </c>
      <c r="C10" s="23" t="s">
        <v>47</v>
      </c>
      <c r="D10" s="32" t="s">
        <v>48</v>
      </c>
      <c r="E10" s="23"/>
      <c r="F10" s="23" t="s">
        <v>29</v>
      </c>
      <c r="G10" s="23" t="s">
        <v>42</v>
      </c>
      <c r="H10" s="23" t="s">
        <v>31</v>
      </c>
      <c r="I10" s="23" t="s">
        <v>31</v>
      </c>
      <c r="J10" s="28">
        <f t="shared" si="1"/>
        <v>22416</v>
      </c>
      <c r="K10" s="28">
        <v>16569</v>
      </c>
      <c r="L10" s="6">
        <v>5847</v>
      </c>
      <c r="M10" s="28">
        <v>1780</v>
      </c>
      <c r="N10" s="28">
        <v>3439</v>
      </c>
      <c r="O10" s="28">
        <v>116</v>
      </c>
      <c r="P10" s="28">
        <v>5</v>
      </c>
      <c r="Q10" s="23"/>
      <c r="R10" s="23"/>
      <c r="S10" s="28">
        <v>5529</v>
      </c>
      <c r="T10" s="28">
        <v>650</v>
      </c>
      <c r="U10" s="28">
        <v>5050</v>
      </c>
    </row>
    <row r="11" s="9" customFormat="1" ht="15" customHeight="1" spans="1:21">
      <c r="A11" s="22">
        <v>8</v>
      </c>
      <c r="B11" s="32" t="s">
        <v>49</v>
      </c>
      <c r="C11" s="23" t="s">
        <v>50</v>
      </c>
      <c r="D11" s="32" t="s">
        <v>51</v>
      </c>
      <c r="E11" s="23"/>
      <c r="F11" s="23" t="s">
        <v>29</v>
      </c>
      <c r="G11" s="23" t="s">
        <v>42</v>
      </c>
      <c r="H11" s="23" t="s">
        <v>31</v>
      </c>
      <c r="I11" s="23" t="s">
        <v>31</v>
      </c>
      <c r="J11" s="28">
        <f t="shared" si="1"/>
        <v>20806</v>
      </c>
      <c r="K11" s="28">
        <v>15810</v>
      </c>
      <c r="L11" s="6">
        <v>4996</v>
      </c>
      <c r="M11" s="28">
        <v>1780</v>
      </c>
      <c r="N11" s="28">
        <v>2685</v>
      </c>
      <c r="O11" s="28">
        <v>116</v>
      </c>
      <c r="P11" s="23"/>
      <c r="Q11" s="23"/>
      <c r="R11" s="23"/>
      <c r="S11" s="28">
        <v>5529</v>
      </c>
      <c r="T11" s="28">
        <v>650</v>
      </c>
      <c r="U11" s="28">
        <v>5050</v>
      </c>
    </row>
    <row r="12" s="9" customFormat="1" ht="15" customHeight="1" spans="1:21">
      <c r="A12" s="22">
        <v>9</v>
      </c>
      <c r="B12" s="32" t="s">
        <v>52</v>
      </c>
      <c r="C12" s="23" t="s">
        <v>53</v>
      </c>
      <c r="D12" s="32" t="s">
        <v>54</v>
      </c>
      <c r="E12" s="23"/>
      <c r="F12" s="23" t="s">
        <v>29</v>
      </c>
      <c r="G12" s="23" t="s">
        <v>42</v>
      </c>
      <c r="H12" s="23" t="s">
        <v>31</v>
      </c>
      <c r="I12" s="23" t="s">
        <v>31</v>
      </c>
      <c r="J12" s="28">
        <f t="shared" si="1"/>
        <v>20806</v>
      </c>
      <c r="K12" s="28">
        <v>15810</v>
      </c>
      <c r="L12" s="6">
        <v>4996</v>
      </c>
      <c r="M12" s="28">
        <v>1780</v>
      </c>
      <c r="N12" s="28">
        <v>2685</v>
      </c>
      <c r="O12" s="28">
        <v>116</v>
      </c>
      <c r="P12" s="23"/>
      <c r="Q12" s="23"/>
      <c r="R12" s="23"/>
      <c r="S12" s="28">
        <v>5529</v>
      </c>
      <c r="T12" s="28">
        <v>650</v>
      </c>
      <c r="U12" s="28">
        <v>5050</v>
      </c>
    </row>
    <row r="13" s="9" customFormat="1" ht="15" customHeight="1" spans="1:21">
      <c r="A13" s="22">
        <v>10</v>
      </c>
      <c r="B13" s="32" t="s">
        <v>55</v>
      </c>
      <c r="C13" s="23" t="s">
        <v>56</v>
      </c>
      <c r="D13" s="32" t="s">
        <v>57</v>
      </c>
      <c r="E13" s="23"/>
      <c r="F13" s="23" t="s">
        <v>29</v>
      </c>
      <c r="G13" s="23" t="s">
        <v>35</v>
      </c>
      <c r="H13" s="23" t="s">
        <v>31</v>
      </c>
      <c r="I13" s="23" t="s">
        <v>31</v>
      </c>
      <c r="J13" s="28">
        <f t="shared" si="1"/>
        <v>23789</v>
      </c>
      <c r="K13" s="28">
        <v>18087</v>
      </c>
      <c r="L13" s="6">
        <v>5702</v>
      </c>
      <c r="M13" s="28">
        <v>2160</v>
      </c>
      <c r="N13" s="28">
        <v>2947</v>
      </c>
      <c r="O13" s="28">
        <v>116</v>
      </c>
      <c r="P13" s="23"/>
      <c r="Q13" s="23"/>
      <c r="R13" s="23"/>
      <c r="S13" s="28">
        <v>5864</v>
      </c>
      <c r="T13" s="28">
        <v>1040</v>
      </c>
      <c r="U13" s="28">
        <v>5960</v>
      </c>
    </row>
    <row r="14" s="9" customFormat="1" ht="15" customHeight="1" spans="1:21">
      <c r="A14" s="22">
        <v>11</v>
      </c>
      <c r="B14" s="32" t="s">
        <v>58</v>
      </c>
      <c r="C14" s="23" t="s">
        <v>59</v>
      </c>
      <c r="D14" s="32" t="s">
        <v>60</v>
      </c>
      <c r="E14" s="23"/>
      <c r="F14" s="23" t="s">
        <v>29</v>
      </c>
      <c r="G14" s="23" t="s">
        <v>35</v>
      </c>
      <c r="H14" s="23" t="s">
        <v>31</v>
      </c>
      <c r="I14" s="23" t="s">
        <v>31</v>
      </c>
      <c r="J14" s="28">
        <f t="shared" si="1"/>
        <v>23351</v>
      </c>
      <c r="K14" s="28">
        <v>17884</v>
      </c>
      <c r="L14" s="6">
        <v>5467</v>
      </c>
      <c r="M14" s="28">
        <v>2160</v>
      </c>
      <c r="N14" s="28">
        <v>2739</v>
      </c>
      <c r="O14" s="28">
        <v>116</v>
      </c>
      <c r="P14" s="28">
        <v>5</v>
      </c>
      <c r="Q14" s="23"/>
      <c r="R14" s="23"/>
      <c r="S14" s="28">
        <v>5864</v>
      </c>
      <c r="T14" s="28">
        <v>1040</v>
      </c>
      <c r="U14" s="28">
        <v>5960</v>
      </c>
    </row>
    <row r="15" s="9" customFormat="1" ht="15" customHeight="1" spans="1:21">
      <c r="A15" s="22">
        <v>12</v>
      </c>
      <c r="B15" s="32" t="s">
        <v>61</v>
      </c>
      <c r="C15" s="23" t="s">
        <v>62</v>
      </c>
      <c r="D15" s="32" t="s">
        <v>63</v>
      </c>
      <c r="E15" s="23"/>
      <c r="F15" s="23" t="s">
        <v>29</v>
      </c>
      <c r="G15" s="23" t="s">
        <v>42</v>
      </c>
      <c r="H15" s="23" t="s">
        <v>31</v>
      </c>
      <c r="I15" s="23" t="s">
        <v>31</v>
      </c>
      <c r="J15" s="28">
        <f t="shared" si="1"/>
        <v>20108</v>
      </c>
      <c r="K15" s="28">
        <v>15483</v>
      </c>
      <c r="L15" s="6">
        <v>4625</v>
      </c>
      <c r="M15" s="28">
        <v>1780</v>
      </c>
      <c r="N15" s="28">
        <v>2358</v>
      </c>
      <c r="O15" s="28">
        <v>116</v>
      </c>
      <c r="P15" s="23"/>
      <c r="Q15" s="23"/>
      <c r="R15" s="23"/>
      <c r="S15" s="28">
        <v>5529</v>
      </c>
      <c r="T15" s="28">
        <v>650</v>
      </c>
      <c r="U15" s="28">
        <v>5050</v>
      </c>
    </row>
    <row r="16" s="9" customFormat="1" ht="15" customHeight="1" spans="1:21">
      <c r="A16" s="22">
        <v>13</v>
      </c>
      <c r="B16" s="32" t="s">
        <v>64</v>
      </c>
      <c r="C16" s="23" t="s">
        <v>65</v>
      </c>
      <c r="D16" s="32" t="s">
        <v>66</v>
      </c>
      <c r="E16" s="23"/>
      <c r="F16" s="23" t="s">
        <v>29</v>
      </c>
      <c r="G16" s="23" t="s">
        <v>42</v>
      </c>
      <c r="H16" s="23" t="s">
        <v>31</v>
      </c>
      <c r="I16" s="23" t="s">
        <v>31</v>
      </c>
      <c r="J16" s="28">
        <f t="shared" si="1"/>
        <v>19828</v>
      </c>
      <c r="K16" s="28">
        <v>15352</v>
      </c>
      <c r="L16" s="6">
        <v>4476</v>
      </c>
      <c r="M16" s="28">
        <v>1780</v>
      </c>
      <c r="N16" s="28">
        <v>2227</v>
      </c>
      <c r="O16" s="28">
        <v>116</v>
      </c>
      <c r="P16" s="23"/>
      <c r="Q16" s="23"/>
      <c r="R16" s="23"/>
      <c r="S16" s="28">
        <v>5529</v>
      </c>
      <c r="T16" s="28">
        <v>650</v>
      </c>
      <c r="U16" s="28">
        <v>5050</v>
      </c>
    </row>
    <row r="17" s="9" customFormat="1" ht="15" customHeight="1" spans="1:21">
      <c r="A17" s="22">
        <v>14</v>
      </c>
      <c r="B17" s="32" t="s">
        <v>67</v>
      </c>
      <c r="C17" s="23" t="s">
        <v>68</v>
      </c>
      <c r="D17" s="32" t="s">
        <v>69</v>
      </c>
      <c r="E17" s="23"/>
      <c r="F17" s="23" t="s">
        <v>29</v>
      </c>
      <c r="G17" s="23" t="s">
        <v>70</v>
      </c>
      <c r="H17" s="23" t="s">
        <v>31</v>
      </c>
      <c r="I17" s="23" t="s">
        <v>31</v>
      </c>
      <c r="J17" s="28">
        <f t="shared" si="1"/>
        <v>18470</v>
      </c>
      <c r="K17" s="28">
        <v>14555</v>
      </c>
      <c r="L17" s="6">
        <v>3915</v>
      </c>
      <c r="M17" s="28">
        <v>1570</v>
      </c>
      <c r="N17" s="28">
        <v>1945</v>
      </c>
      <c r="O17" s="28">
        <v>116</v>
      </c>
      <c r="P17" s="23"/>
      <c r="Q17" s="28">
        <v>130</v>
      </c>
      <c r="R17" s="23"/>
      <c r="S17" s="28">
        <v>5444</v>
      </c>
      <c r="T17" s="28">
        <v>650</v>
      </c>
      <c r="U17" s="28">
        <v>4700</v>
      </c>
    </row>
    <row r="18" s="9" customFormat="1" ht="15" customHeight="1" spans="1:21">
      <c r="A18" s="22">
        <v>15</v>
      </c>
      <c r="B18" s="32" t="s">
        <v>71</v>
      </c>
      <c r="C18" s="23" t="s">
        <v>72</v>
      </c>
      <c r="D18" s="32" t="s">
        <v>73</v>
      </c>
      <c r="E18" s="23"/>
      <c r="F18" s="23" t="s">
        <v>74</v>
      </c>
      <c r="G18" s="23" t="s">
        <v>35</v>
      </c>
      <c r="H18" s="23" t="s">
        <v>31</v>
      </c>
      <c r="I18" s="23" t="s">
        <v>31</v>
      </c>
      <c r="J18" s="28">
        <f t="shared" si="1"/>
        <v>23998</v>
      </c>
      <c r="K18" s="28">
        <v>18185</v>
      </c>
      <c r="L18" s="6">
        <v>5813</v>
      </c>
      <c r="M18" s="28">
        <v>2160</v>
      </c>
      <c r="N18" s="28">
        <v>3045</v>
      </c>
      <c r="O18" s="28">
        <v>116</v>
      </c>
      <c r="P18" s="23"/>
      <c r="Q18" s="23"/>
      <c r="R18" s="23"/>
      <c r="S18" s="28">
        <v>5864</v>
      </c>
      <c r="T18" s="28">
        <v>1040</v>
      </c>
      <c r="U18" s="28">
        <v>5960</v>
      </c>
    </row>
    <row r="19" s="9" customFormat="1" ht="15" customHeight="1" spans="1:21">
      <c r="A19" s="22">
        <v>16</v>
      </c>
      <c r="B19" s="32" t="s">
        <v>75</v>
      </c>
      <c r="C19" s="23" t="s">
        <v>76</v>
      </c>
      <c r="D19" s="32" t="s">
        <v>77</v>
      </c>
      <c r="E19" s="23"/>
      <c r="F19" s="23" t="s">
        <v>29</v>
      </c>
      <c r="G19" s="23" t="s">
        <v>30</v>
      </c>
      <c r="H19" s="23" t="s">
        <v>31</v>
      </c>
      <c r="I19" s="23" t="s">
        <v>31</v>
      </c>
      <c r="J19" s="28">
        <f t="shared" si="1"/>
        <v>29337</v>
      </c>
      <c r="K19" s="28">
        <v>22463</v>
      </c>
      <c r="L19" s="6">
        <v>6874</v>
      </c>
      <c r="M19" s="28">
        <v>2770</v>
      </c>
      <c r="N19" s="28">
        <v>3401</v>
      </c>
      <c r="O19" s="28">
        <v>116</v>
      </c>
      <c r="P19" s="28">
        <v>5</v>
      </c>
      <c r="Q19" s="23"/>
      <c r="R19" s="23"/>
      <c r="S19" s="28">
        <v>7951</v>
      </c>
      <c r="T19" s="28">
        <v>1040</v>
      </c>
      <c r="U19" s="28">
        <v>7180</v>
      </c>
    </row>
    <row r="20" s="9" customFormat="1" ht="15" customHeight="1" spans="1:21">
      <c r="A20" s="22">
        <v>17</v>
      </c>
      <c r="B20" s="32" t="s">
        <v>78</v>
      </c>
      <c r="C20" s="23" t="s">
        <v>79</v>
      </c>
      <c r="D20" s="32" t="s">
        <v>80</v>
      </c>
      <c r="E20" s="23"/>
      <c r="F20" s="23" t="s">
        <v>29</v>
      </c>
      <c r="G20" s="23" t="s">
        <v>81</v>
      </c>
      <c r="H20" s="23" t="s">
        <v>31</v>
      </c>
      <c r="I20" s="23" t="s">
        <v>31</v>
      </c>
      <c r="J20" s="28">
        <f t="shared" si="1"/>
        <v>17447</v>
      </c>
      <c r="K20" s="28">
        <v>13870</v>
      </c>
      <c r="L20" s="6">
        <v>3577</v>
      </c>
      <c r="M20" s="28">
        <v>1410</v>
      </c>
      <c r="N20" s="28">
        <v>1806</v>
      </c>
      <c r="O20" s="28">
        <v>116</v>
      </c>
      <c r="P20" s="23"/>
      <c r="Q20" s="23"/>
      <c r="R20" s="23"/>
      <c r="S20" s="28">
        <v>5438</v>
      </c>
      <c r="T20" s="28">
        <v>650</v>
      </c>
      <c r="U20" s="28">
        <v>4450</v>
      </c>
    </row>
    <row r="21" s="9" customFormat="1" ht="15" customHeight="1" spans="1:21">
      <c r="A21" s="22">
        <v>18</v>
      </c>
      <c r="B21" s="32" t="s">
        <v>82</v>
      </c>
      <c r="C21" s="23" t="s">
        <v>83</v>
      </c>
      <c r="D21" s="32" t="s">
        <v>84</v>
      </c>
      <c r="E21" s="23"/>
      <c r="F21" s="23" t="s">
        <v>74</v>
      </c>
      <c r="G21" s="23" t="s">
        <v>85</v>
      </c>
      <c r="H21" s="23" t="s">
        <v>31</v>
      </c>
      <c r="I21" s="23" t="s">
        <v>31</v>
      </c>
      <c r="J21" s="28">
        <f t="shared" si="1"/>
        <v>18310</v>
      </c>
      <c r="K21" s="28">
        <v>14293</v>
      </c>
      <c r="L21" s="6">
        <f>750+3267</f>
        <v>4017</v>
      </c>
      <c r="M21" s="28">
        <v>1270</v>
      </c>
      <c r="N21" s="28">
        <v>1676</v>
      </c>
      <c r="O21" s="28">
        <v>116</v>
      </c>
      <c r="P21" s="23"/>
      <c r="Q21" s="23"/>
      <c r="R21" s="28">
        <v>750</v>
      </c>
      <c r="S21" s="28">
        <v>5431</v>
      </c>
      <c r="T21" s="28">
        <v>650</v>
      </c>
      <c r="U21" s="28">
        <v>4400</v>
      </c>
    </row>
    <row r="22" s="13" customFormat="1" ht="20" customHeight="1" spans="1:20">
      <c r="A22" s="24" t="s">
        <v>86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="13" customFormat="1" ht="20" customHeight="1" spans="1:20">
      <c r="A23" s="24" t="s">
        <v>87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="13" customFormat="1" ht="20" customHeight="1" spans="1:20">
      <c r="A24" s="24" t="s">
        <v>88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customFormat="1" ht="20" customHeight="1" spans="1:21">
      <c r="A25" s="25" t="s">
        <v>89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31"/>
    </row>
    <row r="26" s="14" customFormat="1" ht="33" customHeight="1" spans="1:18">
      <c r="A26" s="26"/>
      <c r="C26" s="27" t="s">
        <v>90</v>
      </c>
      <c r="G26" s="27" t="s">
        <v>91</v>
      </c>
      <c r="M26" s="27" t="s">
        <v>92</v>
      </c>
      <c r="R26" s="27" t="s">
        <v>93</v>
      </c>
    </row>
  </sheetData>
  <mergeCells count="10">
    <mergeCell ref="A1:U1"/>
    <mergeCell ref="A2:F2"/>
    <mergeCell ref="G2:H2"/>
    <mergeCell ref="J2:M2"/>
    <mergeCell ref="R2:T2"/>
    <mergeCell ref="A4:H4"/>
    <mergeCell ref="A22:T22"/>
    <mergeCell ref="A23:T23"/>
    <mergeCell ref="A24:T24"/>
    <mergeCell ref="A25:T25"/>
  </mergeCells>
  <pageMargins left="0.629861111111111" right="0.472222222222222" top="0.708333333333333" bottom="0.865972222222222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opLeftCell="A2" workbookViewId="0">
      <selection activeCell="K39" sqref="K3:K39"/>
    </sheetView>
  </sheetViews>
  <sheetFormatPr defaultColWidth="8.88888888888889" defaultRowHeight="14.4"/>
  <cols>
    <col min="1" max="1" width="6.66666666666667" customWidth="1"/>
    <col min="2" max="2" width="9.22222222222222" customWidth="1"/>
    <col min="3" max="3" width="37.6666666666667" customWidth="1"/>
    <col min="4" max="4" width="7.33333333333333" style="1" customWidth="1"/>
    <col min="5" max="5" width="10.6666666666667" customWidth="1"/>
    <col min="6" max="6" width="13.4444444444444" customWidth="1"/>
    <col min="7" max="7" width="5.66666666666667" customWidth="1"/>
    <col min="8" max="8" width="8.33333333333333" customWidth="1"/>
    <col min="9" max="9" width="6.22222222222222" customWidth="1"/>
    <col min="10" max="10" width="9.22222222222222" customWidth="1"/>
    <col min="11" max="11" width="8.11111111111111" customWidth="1"/>
    <col min="12" max="14" width="7.44444444444444" customWidth="1"/>
  </cols>
  <sheetData>
    <row r="1" ht="34" customHeight="1" spans="1:1">
      <c r="A1" s="2" t="s">
        <v>94</v>
      </c>
    </row>
    <row r="2" ht="52" customHeight="1" spans="1:14">
      <c r="A2" s="33" t="s">
        <v>6</v>
      </c>
      <c r="B2" s="3" t="s">
        <v>7</v>
      </c>
      <c r="C2" s="3" t="s">
        <v>95</v>
      </c>
      <c r="D2" s="3" t="s">
        <v>96</v>
      </c>
      <c r="E2" s="3" t="s">
        <v>10</v>
      </c>
      <c r="F2" s="3" t="s">
        <v>11</v>
      </c>
      <c r="G2" s="33" t="s">
        <v>97</v>
      </c>
      <c r="H2" s="3" t="s">
        <v>14</v>
      </c>
      <c r="I2" s="3" t="s">
        <v>98</v>
      </c>
      <c r="J2" s="3" t="s">
        <v>99</v>
      </c>
      <c r="K2" s="3" t="s">
        <v>16</v>
      </c>
      <c r="L2" s="3" t="s">
        <v>17</v>
      </c>
      <c r="M2" s="3" t="s">
        <v>18</v>
      </c>
      <c r="N2" s="3" t="s">
        <v>22</v>
      </c>
    </row>
    <row r="3" ht="18" customHeight="1" spans="1:15">
      <c r="A3" s="34" t="s">
        <v>26</v>
      </c>
      <c r="B3" s="4" t="s">
        <v>27</v>
      </c>
      <c r="C3" s="5" t="s">
        <v>100</v>
      </c>
      <c r="D3" s="4" t="s">
        <v>101</v>
      </c>
      <c r="E3" s="4" t="s">
        <v>29</v>
      </c>
      <c r="F3" s="4" t="s">
        <v>30</v>
      </c>
      <c r="G3" s="34" t="s">
        <v>102</v>
      </c>
      <c r="H3" s="6">
        <v>814</v>
      </c>
      <c r="I3" s="4"/>
      <c r="J3" s="4"/>
      <c r="K3" s="6">
        <v>814</v>
      </c>
      <c r="L3" s="4"/>
      <c r="M3" s="4"/>
      <c r="N3" s="4"/>
      <c r="O3">
        <f>K3+K20</f>
        <v>7831</v>
      </c>
    </row>
    <row r="4" ht="18" customHeight="1" spans="1:15">
      <c r="A4" s="34" t="s">
        <v>32</v>
      </c>
      <c r="B4" s="4" t="s">
        <v>33</v>
      </c>
      <c r="C4" s="5" t="s">
        <v>100</v>
      </c>
      <c r="D4" s="4" t="s">
        <v>101</v>
      </c>
      <c r="E4" s="4" t="s">
        <v>29</v>
      </c>
      <c r="F4" s="4" t="s">
        <v>35</v>
      </c>
      <c r="G4" s="34" t="s">
        <v>102</v>
      </c>
      <c r="H4" s="6">
        <v>712</v>
      </c>
      <c r="I4" s="4"/>
      <c r="J4" s="4"/>
      <c r="K4" s="6">
        <v>712</v>
      </c>
      <c r="L4" s="4"/>
      <c r="M4" s="4"/>
      <c r="N4" s="4"/>
      <c r="O4">
        <f t="shared" ref="O4:O19" si="0">K4+K21</f>
        <v>6740</v>
      </c>
    </row>
    <row r="5" ht="18" customHeight="1" spans="1:15">
      <c r="A5" s="34" t="s">
        <v>36</v>
      </c>
      <c r="B5" s="4" t="s">
        <v>37</v>
      </c>
      <c r="C5" s="5" t="s">
        <v>100</v>
      </c>
      <c r="D5" s="4" t="s">
        <v>101</v>
      </c>
      <c r="E5" s="4" t="s">
        <v>29</v>
      </c>
      <c r="F5" s="4" t="s">
        <v>35</v>
      </c>
      <c r="G5" s="34" t="s">
        <v>102</v>
      </c>
      <c r="H5" s="6">
        <v>668</v>
      </c>
      <c r="I5" s="4"/>
      <c r="J5" s="4"/>
      <c r="K5" s="6">
        <v>668</v>
      </c>
      <c r="L5" s="4"/>
      <c r="M5" s="4"/>
      <c r="N5" s="4"/>
      <c r="O5">
        <f t="shared" si="0"/>
        <v>6346</v>
      </c>
    </row>
    <row r="6" ht="18" customHeight="1" spans="1:15">
      <c r="A6" s="34" t="s">
        <v>39</v>
      </c>
      <c r="B6" s="4" t="s">
        <v>40</v>
      </c>
      <c r="C6" s="5" t="s">
        <v>100</v>
      </c>
      <c r="D6" s="4" t="s">
        <v>101</v>
      </c>
      <c r="E6" s="4" t="s">
        <v>29</v>
      </c>
      <c r="F6" s="4" t="s">
        <v>42</v>
      </c>
      <c r="G6" s="34" t="s">
        <v>102</v>
      </c>
      <c r="H6" s="6">
        <v>578</v>
      </c>
      <c r="I6" s="4"/>
      <c r="J6" s="4"/>
      <c r="K6" s="6">
        <v>578</v>
      </c>
      <c r="L6" s="4"/>
      <c r="M6" s="4"/>
      <c r="N6" s="4"/>
      <c r="O6">
        <f t="shared" si="0"/>
        <v>5403</v>
      </c>
    </row>
    <row r="7" ht="18" customHeight="1" spans="1:15">
      <c r="A7" s="34" t="s">
        <v>43</v>
      </c>
      <c r="B7" s="4" t="s">
        <v>44</v>
      </c>
      <c r="C7" s="5" t="s">
        <v>100</v>
      </c>
      <c r="D7" s="4" t="s">
        <v>101</v>
      </c>
      <c r="E7" s="4" t="s">
        <v>29</v>
      </c>
      <c r="F7" s="4" t="s">
        <v>42</v>
      </c>
      <c r="G7" s="34" t="s">
        <v>102</v>
      </c>
      <c r="H7" s="6">
        <v>598</v>
      </c>
      <c r="I7" s="4"/>
      <c r="J7" s="4"/>
      <c r="K7" s="6">
        <v>598</v>
      </c>
      <c r="L7" s="4"/>
      <c r="M7" s="4"/>
      <c r="N7" s="4"/>
      <c r="O7">
        <f t="shared" si="0"/>
        <v>5576</v>
      </c>
    </row>
    <row r="8" ht="18" customHeight="1" spans="1:15">
      <c r="A8" s="34" t="s">
        <v>46</v>
      </c>
      <c r="B8" s="4" t="s">
        <v>47</v>
      </c>
      <c r="C8" s="5" t="s">
        <v>100</v>
      </c>
      <c r="D8" s="4" t="s">
        <v>101</v>
      </c>
      <c r="E8" s="4" t="s">
        <v>29</v>
      </c>
      <c r="F8" s="4" t="s">
        <v>42</v>
      </c>
      <c r="G8" s="34" t="s">
        <v>102</v>
      </c>
      <c r="H8" s="6">
        <v>628</v>
      </c>
      <c r="I8" s="4"/>
      <c r="J8" s="4"/>
      <c r="K8" s="6">
        <v>628</v>
      </c>
      <c r="L8" s="4"/>
      <c r="M8" s="4"/>
      <c r="N8" s="4"/>
      <c r="O8">
        <f t="shared" si="0"/>
        <v>5847</v>
      </c>
    </row>
    <row r="9" ht="18" customHeight="1" spans="1:15">
      <c r="A9" s="34" t="s">
        <v>49</v>
      </c>
      <c r="B9" s="4" t="s">
        <v>50</v>
      </c>
      <c r="C9" s="5" t="s">
        <v>100</v>
      </c>
      <c r="D9" s="4" t="s">
        <v>101</v>
      </c>
      <c r="E9" s="4" t="s">
        <v>29</v>
      </c>
      <c r="F9" s="4" t="s">
        <v>42</v>
      </c>
      <c r="G9" s="34" t="s">
        <v>102</v>
      </c>
      <c r="H9" s="6">
        <v>531</v>
      </c>
      <c r="I9" s="4"/>
      <c r="J9" s="4"/>
      <c r="K9" s="6">
        <v>531</v>
      </c>
      <c r="L9" s="4"/>
      <c r="M9" s="4"/>
      <c r="N9" s="4"/>
      <c r="O9">
        <f t="shared" si="0"/>
        <v>4996</v>
      </c>
    </row>
    <row r="10" ht="18" customHeight="1" spans="1:15">
      <c r="A10" s="34" t="s">
        <v>52</v>
      </c>
      <c r="B10" s="4" t="s">
        <v>53</v>
      </c>
      <c r="C10" s="5" t="s">
        <v>100</v>
      </c>
      <c r="D10" s="4" t="s">
        <v>101</v>
      </c>
      <c r="E10" s="4" t="s">
        <v>29</v>
      </c>
      <c r="F10" s="4" t="s">
        <v>42</v>
      </c>
      <c r="G10" s="34" t="s">
        <v>102</v>
      </c>
      <c r="H10" s="6">
        <v>531</v>
      </c>
      <c r="I10" s="4"/>
      <c r="J10" s="4"/>
      <c r="K10" s="6">
        <v>531</v>
      </c>
      <c r="L10" s="4"/>
      <c r="M10" s="4"/>
      <c r="N10" s="4"/>
      <c r="O10">
        <f t="shared" si="0"/>
        <v>4996</v>
      </c>
    </row>
    <row r="11" ht="18" customHeight="1" spans="1:15">
      <c r="A11" s="34" t="s">
        <v>55</v>
      </c>
      <c r="B11" s="4" t="s">
        <v>56</v>
      </c>
      <c r="C11" s="5" t="s">
        <v>100</v>
      </c>
      <c r="D11" s="4" t="s">
        <v>101</v>
      </c>
      <c r="E11" s="4" t="s">
        <v>29</v>
      </c>
      <c r="F11" s="4" t="s">
        <v>35</v>
      </c>
      <c r="G11" s="34" t="s">
        <v>102</v>
      </c>
      <c r="H11" s="6">
        <v>595</v>
      </c>
      <c r="I11" s="4"/>
      <c r="J11" s="4"/>
      <c r="K11" s="6">
        <v>595</v>
      </c>
      <c r="L11" s="4"/>
      <c r="M11" s="4"/>
      <c r="N11" s="4"/>
      <c r="O11">
        <f t="shared" si="0"/>
        <v>5702</v>
      </c>
    </row>
    <row r="12" ht="18" customHeight="1" spans="1:15">
      <c r="A12" s="34" t="s">
        <v>58</v>
      </c>
      <c r="B12" s="4" t="s">
        <v>59</v>
      </c>
      <c r="C12" s="5" t="s">
        <v>100</v>
      </c>
      <c r="D12" s="4" t="s">
        <v>101</v>
      </c>
      <c r="E12" s="4" t="s">
        <v>29</v>
      </c>
      <c r="F12" s="4" t="s">
        <v>35</v>
      </c>
      <c r="G12" s="34" t="s">
        <v>102</v>
      </c>
      <c r="H12" s="6">
        <v>568</v>
      </c>
      <c r="I12" s="4"/>
      <c r="J12" s="4"/>
      <c r="K12" s="6">
        <v>568</v>
      </c>
      <c r="L12" s="4"/>
      <c r="M12" s="4"/>
      <c r="N12" s="4"/>
      <c r="O12">
        <f t="shared" si="0"/>
        <v>5467</v>
      </c>
    </row>
    <row r="13" ht="18" customHeight="1" spans="1:15">
      <c r="A13" s="34" t="s">
        <v>61</v>
      </c>
      <c r="B13" s="4" t="s">
        <v>62</v>
      </c>
      <c r="C13" s="5" t="s">
        <v>100</v>
      </c>
      <c r="D13" s="4" t="s">
        <v>101</v>
      </c>
      <c r="E13" s="4" t="s">
        <v>29</v>
      </c>
      <c r="F13" s="4" t="s">
        <v>42</v>
      </c>
      <c r="G13" s="34" t="s">
        <v>102</v>
      </c>
      <c r="H13" s="6">
        <v>487</v>
      </c>
      <c r="I13" s="4"/>
      <c r="J13" s="4"/>
      <c r="K13" s="6">
        <v>487</v>
      </c>
      <c r="L13" s="4"/>
      <c r="M13" s="4"/>
      <c r="N13" s="4"/>
      <c r="O13">
        <f t="shared" si="0"/>
        <v>4625</v>
      </c>
    </row>
    <row r="14" ht="18" customHeight="1" spans="1:15">
      <c r="A14" s="34" t="s">
        <v>64</v>
      </c>
      <c r="B14" s="4" t="s">
        <v>65</v>
      </c>
      <c r="C14" s="5" t="s">
        <v>100</v>
      </c>
      <c r="D14" s="4" t="s">
        <v>101</v>
      </c>
      <c r="E14" s="4" t="s">
        <v>29</v>
      </c>
      <c r="F14" s="4" t="s">
        <v>42</v>
      </c>
      <c r="G14" s="34" t="s">
        <v>102</v>
      </c>
      <c r="H14" s="6">
        <v>469</v>
      </c>
      <c r="I14" s="4"/>
      <c r="J14" s="4"/>
      <c r="K14" s="6">
        <v>469</v>
      </c>
      <c r="L14" s="4"/>
      <c r="M14" s="4"/>
      <c r="N14" s="4"/>
      <c r="O14">
        <f t="shared" si="0"/>
        <v>4476</v>
      </c>
    </row>
    <row r="15" ht="18" customHeight="1" spans="1:15">
      <c r="A15" s="34" t="s">
        <v>67</v>
      </c>
      <c r="B15" s="4" t="s">
        <v>68</v>
      </c>
      <c r="C15" s="5" t="s">
        <v>100</v>
      </c>
      <c r="D15" s="4" t="s">
        <v>101</v>
      </c>
      <c r="E15" s="4" t="s">
        <v>29</v>
      </c>
      <c r="F15" s="4" t="s">
        <v>70</v>
      </c>
      <c r="G15" s="34" t="s">
        <v>102</v>
      </c>
      <c r="H15" s="6">
        <v>400</v>
      </c>
      <c r="I15" s="4"/>
      <c r="J15" s="4"/>
      <c r="K15" s="6">
        <v>400</v>
      </c>
      <c r="L15" s="4"/>
      <c r="M15" s="4"/>
      <c r="N15" s="4"/>
      <c r="O15">
        <f t="shared" si="0"/>
        <v>3915</v>
      </c>
    </row>
    <row r="16" ht="18" customHeight="1" spans="1:15">
      <c r="A16" s="34" t="s">
        <v>71</v>
      </c>
      <c r="B16" s="4" t="s">
        <v>72</v>
      </c>
      <c r="C16" s="5" t="s">
        <v>100</v>
      </c>
      <c r="D16" s="4" t="s">
        <v>101</v>
      </c>
      <c r="E16" s="4" t="s">
        <v>74</v>
      </c>
      <c r="F16" s="4" t="s">
        <v>35</v>
      </c>
      <c r="G16" s="34" t="s">
        <v>102</v>
      </c>
      <c r="H16" s="6">
        <v>608</v>
      </c>
      <c r="I16" s="4"/>
      <c r="J16" s="4"/>
      <c r="K16" s="6">
        <v>608</v>
      </c>
      <c r="L16" s="4"/>
      <c r="M16" s="4"/>
      <c r="N16" s="4"/>
      <c r="O16">
        <f t="shared" si="0"/>
        <v>5813</v>
      </c>
    </row>
    <row r="17" ht="18" customHeight="1" spans="1:15">
      <c r="A17" s="34" t="s">
        <v>75</v>
      </c>
      <c r="B17" s="4" t="s">
        <v>76</v>
      </c>
      <c r="C17" s="5" t="s">
        <v>100</v>
      </c>
      <c r="D17" s="4" t="s">
        <v>101</v>
      </c>
      <c r="E17" s="4" t="s">
        <v>29</v>
      </c>
      <c r="F17" s="4" t="s">
        <v>30</v>
      </c>
      <c r="G17" s="34" t="s">
        <v>102</v>
      </c>
      <c r="H17" s="6">
        <v>703</v>
      </c>
      <c r="I17" s="4"/>
      <c r="J17" s="4"/>
      <c r="K17" s="6">
        <v>703</v>
      </c>
      <c r="L17" s="4"/>
      <c r="M17" s="4"/>
      <c r="N17" s="4"/>
      <c r="O17">
        <f t="shared" si="0"/>
        <v>6874</v>
      </c>
    </row>
    <row r="18" ht="18" customHeight="1" spans="1:15">
      <c r="A18" s="34" t="s">
        <v>78</v>
      </c>
      <c r="B18" s="4" t="s">
        <v>79</v>
      </c>
      <c r="C18" s="5" t="s">
        <v>100</v>
      </c>
      <c r="D18" s="4" t="s">
        <v>101</v>
      </c>
      <c r="E18" s="4" t="s">
        <v>29</v>
      </c>
      <c r="F18" s="4" t="s">
        <v>81</v>
      </c>
      <c r="G18" s="34" t="s">
        <v>102</v>
      </c>
      <c r="H18" s="6">
        <v>361</v>
      </c>
      <c r="I18" s="4"/>
      <c r="J18" s="4"/>
      <c r="K18" s="6">
        <v>361</v>
      </c>
      <c r="L18" s="4"/>
      <c r="M18" s="4"/>
      <c r="N18" s="4"/>
      <c r="O18">
        <f t="shared" si="0"/>
        <v>3577</v>
      </c>
    </row>
    <row r="19" ht="18" customHeight="1" spans="1:15">
      <c r="A19" s="34" t="s">
        <v>82</v>
      </c>
      <c r="B19" s="4" t="s">
        <v>83</v>
      </c>
      <c r="C19" s="5" t="s">
        <v>100</v>
      </c>
      <c r="D19" s="4" t="s">
        <v>101</v>
      </c>
      <c r="E19" s="4" t="s">
        <v>74</v>
      </c>
      <c r="F19" s="4" t="s">
        <v>85</v>
      </c>
      <c r="G19" s="34" t="s">
        <v>102</v>
      </c>
      <c r="H19" s="6">
        <v>321</v>
      </c>
      <c r="I19" s="4"/>
      <c r="J19" s="4"/>
      <c r="K19" s="6">
        <v>321</v>
      </c>
      <c r="L19" s="4"/>
      <c r="M19" s="4"/>
      <c r="N19" s="4"/>
      <c r="O19">
        <f t="shared" si="0"/>
        <v>3267</v>
      </c>
    </row>
    <row r="20" ht="18" customHeight="1" spans="1:14">
      <c r="A20" s="34" t="s">
        <v>26</v>
      </c>
      <c r="B20" s="4" t="s">
        <v>27</v>
      </c>
      <c r="C20" s="5" t="s">
        <v>103</v>
      </c>
      <c r="D20" s="4" t="s">
        <v>101</v>
      </c>
      <c r="E20" s="4" t="s">
        <v>29</v>
      </c>
      <c r="F20" s="4" t="s">
        <v>30</v>
      </c>
      <c r="G20" s="34" t="s">
        <v>102</v>
      </c>
      <c r="H20" s="6">
        <v>7017</v>
      </c>
      <c r="I20" s="4"/>
      <c r="J20" s="4"/>
      <c r="K20" s="6">
        <v>7017</v>
      </c>
      <c r="L20" s="4"/>
      <c r="M20" s="4"/>
      <c r="N20" s="4"/>
    </row>
    <row r="21" ht="18" customHeight="1" spans="1:14">
      <c r="A21" s="34" t="s">
        <v>32</v>
      </c>
      <c r="B21" s="4" t="s">
        <v>33</v>
      </c>
      <c r="C21" s="5" t="s">
        <v>103</v>
      </c>
      <c r="D21" s="4" t="s">
        <v>101</v>
      </c>
      <c r="E21" s="4" t="s">
        <v>29</v>
      </c>
      <c r="F21" s="4" t="s">
        <v>35</v>
      </c>
      <c r="G21" s="34" t="s">
        <v>102</v>
      </c>
      <c r="H21" s="6">
        <v>6028</v>
      </c>
      <c r="I21" s="4"/>
      <c r="J21" s="4"/>
      <c r="K21" s="6">
        <v>6028</v>
      </c>
      <c r="L21" s="4"/>
      <c r="M21" s="4"/>
      <c r="N21" s="4"/>
    </row>
    <row r="22" ht="18" customHeight="1" spans="1:14">
      <c r="A22" s="34" t="s">
        <v>36</v>
      </c>
      <c r="B22" s="4" t="s">
        <v>37</v>
      </c>
      <c r="C22" s="5" t="s">
        <v>103</v>
      </c>
      <c r="D22" s="4" t="s">
        <v>101</v>
      </c>
      <c r="E22" s="4" t="s">
        <v>29</v>
      </c>
      <c r="F22" s="4" t="s">
        <v>35</v>
      </c>
      <c r="G22" s="34" t="s">
        <v>102</v>
      </c>
      <c r="H22" s="6">
        <v>5678</v>
      </c>
      <c r="I22" s="4"/>
      <c r="J22" s="4"/>
      <c r="K22" s="6">
        <v>5678</v>
      </c>
      <c r="L22" s="4"/>
      <c r="M22" s="4"/>
      <c r="N22" s="4"/>
    </row>
    <row r="23" ht="18" customHeight="1" spans="1:14">
      <c r="A23" s="34" t="s">
        <v>39</v>
      </c>
      <c r="B23" s="4" t="s">
        <v>40</v>
      </c>
      <c r="C23" s="5" t="s">
        <v>103</v>
      </c>
      <c r="D23" s="4" t="s">
        <v>101</v>
      </c>
      <c r="E23" s="4" t="s">
        <v>29</v>
      </c>
      <c r="F23" s="4" t="s">
        <v>42</v>
      </c>
      <c r="G23" s="34" t="s">
        <v>102</v>
      </c>
      <c r="H23" s="6">
        <v>4825</v>
      </c>
      <c r="I23" s="4"/>
      <c r="J23" s="4"/>
      <c r="K23" s="6">
        <v>4825</v>
      </c>
      <c r="L23" s="4"/>
      <c r="M23" s="4"/>
      <c r="N23" s="4"/>
    </row>
    <row r="24" ht="18" customHeight="1" spans="1:14">
      <c r="A24" s="34" t="s">
        <v>43</v>
      </c>
      <c r="B24" s="4" t="s">
        <v>44</v>
      </c>
      <c r="C24" s="5" t="s">
        <v>103</v>
      </c>
      <c r="D24" s="4" t="s">
        <v>101</v>
      </c>
      <c r="E24" s="4" t="s">
        <v>29</v>
      </c>
      <c r="F24" s="4" t="s">
        <v>42</v>
      </c>
      <c r="G24" s="34" t="s">
        <v>102</v>
      </c>
      <c r="H24" s="6">
        <v>4978</v>
      </c>
      <c r="I24" s="4"/>
      <c r="J24" s="4"/>
      <c r="K24" s="6">
        <v>4978</v>
      </c>
      <c r="L24" s="4"/>
      <c r="M24" s="4"/>
      <c r="N24" s="4"/>
    </row>
    <row r="25" ht="18" customHeight="1" spans="1:14">
      <c r="A25" s="34" t="s">
        <v>46</v>
      </c>
      <c r="B25" s="4" t="s">
        <v>47</v>
      </c>
      <c r="C25" s="5" t="s">
        <v>103</v>
      </c>
      <c r="D25" s="4" t="s">
        <v>101</v>
      </c>
      <c r="E25" s="4" t="s">
        <v>29</v>
      </c>
      <c r="F25" s="4" t="s">
        <v>42</v>
      </c>
      <c r="G25" s="34" t="s">
        <v>102</v>
      </c>
      <c r="H25" s="6">
        <v>5219</v>
      </c>
      <c r="I25" s="4"/>
      <c r="J25" s="4"/>
      <c r="K25" s="6">
        <v>5219</v>
      </c>
      <c r="L25" s="4"/>
      <c r="M25" s="4"/>
      <c r="N25" s="4"/>
    </row>
    <row r="26" ht="18" customHeight="1" spans="1:14">
      <c r="A26" s="34" t="s">
        <v>49</v>
      </c>
      <c r="B26" s="4" t="s">
        <v>50</v>
      </c>
      <c r="C26" s="5" t="s">
        <v>103</v>
      </c>
      <c r="D26" s="4" t="s">
        <v>101</v>
      </c>
      <c r="E26" s="4" t="s">
        <v>29</v>
      </c>
      <c r="F26" s="4" t="s">
        <v>42</v>
      </c>
      <c r="G26" s="34" t="s">
        <v>102</v>
      </c>
      <c r="H26" s="6">
        <v>4465</v>
      </c>
      <c r="I26" s="4"/>
      <c r="J26" s="4"/>
      <c r="K26" s="6">
        <v>4465</v>
      </c>
      <c r="L26" s="4"/>
      <c r="M26" s="4"/>
      <c r="N26" s="4"/>
    </row>
    <row r="27" ht="18" customHeight="1" spans="1:14">
      <c r="A27" s="34" t="s">
        <v>52</v>
      </c>
      <c r="B27" s="4" t="s">
        <v>53</v>
      </c>
      <c r="C27" s="5" t="s">
        <v>103</v>
      </c>
      <c r="D27" s="4" t="s">
        <v>101</v>
      </c>
      <c r="E27" s="4" t="s">
        <v>29</v>
      </c>
      <c r="F27" s="4" t="s">
        <v>42</v>
      </c>
      <c r="G27" s="34" t="s">
        <v>102</v>
      </c>
      <c r="H27" s="6">
        <v>4465</v>
      </c>
      <c r="I27" s="4"/>
      <c r="J27" s="4"/>
      <c r="K27" s="6">
        <v>4465</v>
      </c>
      <c r="L27" s="4"/>
      <c r="M27" s="4"/>
      <c r="N27" s="4"/>
    </row>
    <row r="28" ht="18" customHeight="1" spans="1:14">
      <c r="A28" s="34" t="s">
        <v>55</v>
      </c>
      <c r="B28" s="4" t="s">
        <v>56</v>
      </c>
      <c r="C28" s="5" t="s">
        <v>103</v>
      </c>
      <c r="D28" s="4" t="s">
        <v>101</v>
      </c>
      <c r="E28" s="4" t="s">
        <v>29</v>
      </c>
      <c r="F28" s="4" t="s">
        <v>35</v>
      </c>
      <c r="G28" s="34" t="s">
        <v>102</v>
      </c>
      <c r="H28" s="6">
        <v>5107</v>
      </c>
      <c r="I28" s="4"/>
      <c r="J28" s="4"/>
      <c r="K28" s="6">
        <v>5107</v>
      </c>
      <c r="L28" s="4"/>
      <c r="M28" s="4"/>
      <c r="N28" s="4"/>
    </row>
    <row r="29" ht="18" customHeight="1" spans="1:14">
      <c r="A29" s="34" t="s">
        <v>58</v>
      </c>
      <c r="B29" s="4" t="s">
        <v>59</v>
      </c>
      <c r="C29" s="5" t="s">
        <v>103</v>
      </c>
      <c r="D29" s="4" t="s">
        <v>101</v>
      </c>
      <c r="E29" s="4" t="s">
        <v>29</v>
      </c>
      <c r="F29" s="4" t="s">
        <v>35</v>
      </c>
      <c r="G29" s="34" t="s">
        <v>102</v>
      </c>
      <c r="H29" s="6">
        <v>4899</v>
      </c>
      <c r="I29" s="4"/>
      <c r="J29" s="4"/>
      <c r="K29" s="6">
        <v>4899</v>
      </c>
      <c r="L29" s="4"/>
      <c r="M29" s="4"/>
      <c r="N29" s="4"/>
    </row>
    <row r="30" ht="18" customHeight="1" spans="1:14">
      <c r="A30" s="34" t="s">
        <v>61</v>
      </c>
      <c r="B30" s="4" t="s">
        <v>62</v>
      </c>
      <c r="C30" s="5" t="s">
        <v>103</v>
      </c>
      <c r="D30" s="4" t="s">
        <v>101</v>
      </c>
      <c r="E30" s="4" t="s">
        <v>29</v>
      </c>
      <c r="F30" s="4" t="s">
        <v>42</v>
      </c>
      <c r="G30" s="34" t="s">
        <v>102</v>
      </c>
      <c r="H30" s="6">
        <v>4138</v>
      </c>
      <c r="I30" s="4"/>
      <c r="J30" s="4"/>
      <c r="K30" s="6">
        <v>4138</v>
      </c>
      <c r="L30" s="4"/>
      <c r="M30" s="4"/>
      <c r="N30" s="4"/>
    </row>
    <row r="31" ht="18" customHeight="1" spans="1:14">
      <c r="A31" s="34" t="s">
        <v>64</v>
      </c>
      <c r="B31" s="4" t="s">
        <v>65</v>
      </c>
      <c r="C31" s="5" t="s">
        <v>103</v>
      </c>
      <c r="D31" s="4" t="s">
        <v>101</v>
      </c>
      <c r="E31" s="4" t="s">
        <v>29</v>
      </c>
      <c r="F31" s="4" t="s">
        <v>42</v>
      </c>
      <c r="G31" s="34" t="s">
        <v>102</v>
      </c>
      <c r="H31" s="6">
        <v>4007</v>
      </c>
      <c r="I31" s="4"/>
      <c r="J31" s="4"/>
      <c r="K31" s="6">
        <v>4007</v>
      </c>
      <c r="L31" s="4"/>
      <c r="M31" s="4"/>
      <c r="N31" s="4"/>
    </row>
    <row r="32" ht="18" customHeight="1" spans="1:14">
      <c r="A32" s="34" t="s">
        <v>67</v>
      </c>
      <c r="B32" s="4" t="s">
        <v>68</v>
      </c>
      <c r="C32" s="5" t="s">
        <v>103</v>
      </c>
      <c r="D32" s="4" t="s">
        <v>101</v>
      </c>
      <c r="E32" s="4" t="s">
        <v>29</v>
      </c>
      <c r="F32" s="4" t="s">
        <v>70</v>
      </c>
      <c r="G32" s="34" t="s">
        <v>102</v>
      </c>
      <c r="H32" s="6">
        <v>3515</v>
      </c>
      <c r="I32" s="4"/>
      <c r="J32" s="4"/>
      <c r="K32" s="6">
        <v>3515</v>
      </c>
      <c r="L32" s="4"/>
      <c r="M32" s="4"/>
      <c r="N32" s="4"/>
    </row>
    <row r="33" ht="18" customHeight="1" spans="1:14">
      <c r="A33" s="34" t="s">
        <v>71</v>
      </c>
      <c r="B33" s="4" t="s">
        <v>72</v>
      </c>
      <c r="C33" s="5" t="s">
        <v>103</v>
      </c>
      <c r="D33" s="4" t="s">
        <v>101</v>
      </c>
      <c r="E33" s="4" t="s">
        <v>74</v>
      </c>
      <c r="F33" s="4" t="s">
        <v>35</v>
      </c>
      <c r="G33" s="34" t="s">
        <v>102</v>
      </c>
      <c r="H33" s="6">
        <v>5205</v>
      </c>
      <c r="I33" s="4"/>
      <c r="J33" s="4"/>
      <c r="K33" s="6">
        <v>5205</v>
      </c>
      <c r="L33" s="4"/>
      <c r="M33" s="4"/>
      <c r="N33" s="4"/>
    </row>
    <row r="34" ht="18" customHeight="1" spans="1:14">
      <c r="A34" s="34" t="s">
        <v>75</v>
      </c>
      <c r="B34" s="4" t="s">
        <v>76</v>
      </c>
      <c r="C34" s="5" t="s">
        <v>103</v>
      </c>
      <c r="D34" s="4" t="s">
        <v>101</v>
      </c>
      <c r="E34" s="4" t="s">
        <v>29</v>
      </c>
      <c r="F34" s="4" t="s">
        <v>30</v>
      </c>
      <c r="G34" s="34" t="s">
        <v>102</v>
      </c>
      <c r="H34" s="6">
        <v>6171</v>
      </c>
      <c r="I34" s="4"/>
      <c r="J34" s="4"/>
      <c r="K34" s="6">
        <v>6171</v>
      </c>
      <c r="L34" s="4"/>
      <c r="M34" s="4"/>
      <c r="N34" s="4"/>
    </row>
    <row r="35" ht="18" customHeight="1" spans="1:14">
      <c r="A35" s="34" t="s">
        <v>78</v>
      </c>
      <c r="B35" s="4" t="s">
        <v>79</v>
      </c>
      <c r="C35" s="5" t="s">
        <v>103</v>
      </c>
      <c r="D35" s="4" t="s">
        <v>101</v>
      </c>
      <c r="E35" s="4" t="s">
        <v>29</v>
      </c>
      <c r="F35" s="4" t="s">
        <v>81</v>
      </c>
      <c r="G35" s="34" t="s">
        <v>102</v>
      </c>
      <c r="H35" s="6">
        <v>3216</v>
      </c>
      <c r="I35" s="4"/>
      <c r="J35" s="4"/>
      <c r="K35" s="6">
        <v>3216</v>
      </c>
      <c r="L35" s="4"/>
      <c r="M35" s="4"/>
      <c r="N35" s="4"/>
    </row>
    <row r="36" ht="18" customHeight="1" spans="1:14">
      <c r="A36" s="34" t="s">
        <v>82</v>
      </c>
      <c r="B36" s="4" t="s">
        <v>83</v>
      </c>
      <c r="C36" s="5" t="s">
        <v>103</v>
      </c>
      <c r="D36" s="4" t="s">
        <v>101</v>
      </c>
      <c r="E36" s="4" t="s">
        <v>74</v>
      </c>
      <c r="F36" s="4" t="s">
        <v>85</v>
      </c>
      <c r="G36" s="34" t="s">
        <v>102</v>
      </c>
      <c r="H36" s="6">
        <v>2946</v>
      </c>
      <c r="I36" s="4"/>
      <c r="J36" s="4"/>
      <c r="K36" s="6">
        <v>2946</v>
      </c>
      <c r="L36" s="4"/>
      <c r="M36" s="4"/>
      <c r="N36" s="4"/>
    </row>
    <row r="37" ht="18" customHeight="1" spans="1:14">
      <c r="A37" s="4"/>
      <c r="B37" s="4"/>
      <c r="C37" s="5" t="s">
        <v>104</v>
      </c>
      <c r="D37" s="4" t="s">
        <v>105</v>
      </c>
      <c r="E37" s="4" t="s">
        <v>74</v>
      </c>
      <c r="F37" s="4" t="s">
        <v>85</v>
      </c>
      <c r="G37" s="34" t="s">
        <v>106</v>
      </c>
      <c r="H37" s="4"/>
      <c r="I37" s="4"/>
      <c r="J37" s="8">
        <v>45292</v>
      </c>
      <c r="K37" s="4"/>
      <c r="L37" s="6">
        <v>1270</v>
      </c>
      <c r="M37" s="6">
        <v>1676</v>
      </c>
      <c r="N37" s="4"/>
    </row>
    <row r="38" ht="18" customHeight="1" spans="1:14">
      <c r="A38" s="4"/>
      <c r="B38" s="4"/>
      <c r="C38" s="5"/>
      <c r="D38" s="4" t="s">
        <v>107</v>
      </c>
      <c r="E38" s="4" t="s">
        <v>74</v>
      </c>
      <c r="F38" s="4" t="s">
        <v>85</v>
      </c>
      <c r="G38" s="34" t="s">
        <v>106</v>
      </c>
      <c r="H38" s="4"/>
      <c r="I38" s="4"/>
      <c r="J38" s="8">
        <v>45658</v>
      </c>
      <c r="K38" s="4"/>
      <c r="L38" s="6">
        <v>1270</v>
      </c>
      <c r="M38" s="6">
        <v>1676</v>
      </c>
      <c r="N38" s="6">
        <v>750</v>
      </c>
    </row>
    <row r="39" ht="18" customHeight="1" spans="1:14">
      <c r="A39" s="4"/>
      <c r="B39" s="4"/>
      <c r="C39" s="5"/>
      <c r="D39" s="4" t="s">
        <v>101</v>
      </c>
      <c r="E39" s="4" t="s">
        <v>74</v>
      </c>
      <c r="F39" s="4" t="s">
        <v>85</v>
      </c>
      <c r="G39" s="34" t="s">
        <v>106</v>
      </c>
      <c r="H39" s="6">
        <v>1500</v>
      </c>
      <c r="I39" s="6">
        <v>750</v>
      </c>
      <c r="J39" s="8">
        <v>45658</v>
      </c>
      <c r="K39" s="6">
        <v>750</v>
      </c>
      <c r="L39" s="4"/>
      <c r="M39" s="4"/>
      <c r="N39" s="6">
        <v>750</v>
      </c>
    </row>
    <row r="40" ht="138" customHeight="1" spans="1:14">
      <c r="A40" s="5" t="s">
        <v>108</v>
      </c>
      <c r="B40" s="4"/>
      <c r="C40" s="4"/>
      <c r="D40" s="4"/>
      <c r="E40" s="4"/>
      <c r="F40" s="5" t="s">
        <v>109</v>
      </c>
      <c r="G40" s="7"/>
      <c r="H40" s="7"/>
      <c r="I40" s="7"/>
      <c r="J40" s="7"/>
      <c r="K40" s="5" t="s">
        <v>110</v>
      </c>
      <c r="L40" s="7"/>
      <c r="M40" s="7"/>
      <c r="N40" s="7"/>
    </row>
  </sheetData>
  <mergeCells count="7">
    <mergeCell ref="A1:N1"/>
    <mergeCell ref="A40:E40"/>
    <mergeCell ref="F40:J40"/>
    <mergeCell ref="K40:N40"/>
    <mergeCell ref="A36:A39"/>
    <mergeCell ref="B36:B39"/>
    <mergeCell ref="C37:C39"/>
  </mergeCells>
  <printOptions horizontalCentered="1"/>
  <pageMargins left="0.511805555555556" right="0.550694444444444" top="0.786805555555556" bottom="1.10208333333333" header="0.5" footer="0.5"/>
  <pageSetup paperSize="9" scale="95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工资双薪</vt:lpstr>
      <vt:lpstr>变动花名册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2025-01-16T06:49:00Z</dcterms:created>
  <dcterms:modified xsi:type="dcterms:W3CDTF">2025-01-16T07:22:00Z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