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27"/>
  </bookViews>
  <sheets>
    <sheet name="工资" sheetId="1" r:id="rId1"/>
    <sheet name="变动花名册" sheetId="2" r:id="rId2"/>
  </sheets>
  <definedNames>
    <definedName name="_xlnm.Print_Titles" localSheetId="0">工资!$1:$4</definedName>
  </definedNames>
  <calcPr calcId="144525"/>
</workbook>
</file>

<file path=xl/sharedStrings.xml><?xml version="1.0" encoding="utf-8"?>
<sst xmlns="http://schemas.openxmlformats.org/spreadsheetml/2006/main" count="212" uniqueCount="78">
  <si>
    <t>2025年02月工资基金 事业工资发放表</t>
  </si>
  <si>
    <t>单位名称：高新区财政国资局(事业人员）</t>
  </si>
  <si>
    <t>单位：元</t>
  </si>
  <si>
    <t>经办人签字:</t>
  </si>
  <si>
    <r>
      <t>制表时间：</t>
    </r>
    <r>
      <rPr>
        <sz val="10"/>
        <color theme="1"/>
        <rFont val="Times New Roman"/>
        <charset val="134"/>
      </rPr>
      <t>2025.1.16</t>
    </r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</si>
  <si>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</si>
  <si>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</si>
  <si>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</si>
  <si>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</si>
  <si>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</si>
  <si>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</si>
  <si>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</si>
  <si>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</si>
  <si>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</si>
  <si>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</si>
  <si>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</si>
  <si>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一次性补扣发</t>
  </si>
  <si>
    <t>岗位工资</t>
  </si>
  <si>
    <t>薪级工资</t>
  </si>
  <si>
    <t>见习试用期工资</t>
  </si>
  <si>
    <t>93年工改保留补贴</t>
  </si>
  <si>
    <t>独生子女父母奖励金</t>
  </si>
  <si>
    <t>月基础绩效</t>
  </si>
  <si>
    <t>基础绩效奖</t>
  </si>
  <si>
    <t>月奖励绩效</t>
  </si>
  <si>
    <t>00002</t>
  </si>
  <si>
    <t>刘嘉</t>
  </si>
  <si>
    <t>51010419790927236X</t>
  </si>
  <si>
    <t>事业技术工人</t>
  </si>
  <si>
    <t>技术工三级</t>
  </si>
  <si>
    <t>是</t>
  </si>
  <si>
    <t>00003</t>
  </si>
  <si>
    <t>张磊</t>
  </si>
  <si>
    <t>511111198901171715</t>
  </si>
  <si>
    <t>管理人员</t>
  </si>
  <si>
    <t>六级管理岗位</t>
  </si>
  <si>
    <t>00010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</si>
  <si>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</si>
  <si>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</si>
  <si>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</si>
  <si>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</si>
  <si>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</si>
  <si>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</si>
  <si>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</si>
  <si>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00017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</si>
  <si>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</si>
  <si>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</si>
  <si>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</si>
  <si>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</si>
  <si>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</si>
  <si>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</si>
  <si>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</si>
  <si>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</si>
  <si>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</si>
  <si>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00022</t>
  </si>
  <si>
    <t>李汶卿</t>
  </si>
  <si>
    <t>620503199907198039</t>
  </si>
  <si>
    <t>试用期</t>
  </si>
  <si>
    <r>
      <rPr>
        <sz val="10"/>
        <color theme="1"/>
        <rFont val="宋体"/>
        <charset val="134"/>
      </rPr>
      <t>备注：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2024</t>
    </r>
    <r>
      <rPr>
        <sz val="10"/>
        <color theme="1"/>
        <rFont val="宋体"/>
        <charset val="134"/>
      </rPr>
      <t>年</t>
    </r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月工资调标，</t>
    </r>
    <r>
      <rPr>
        <sz val="10"/>
        <color theme="1"/>
        <rFont val="Times New Roman"/>
        <charset val="134"/>
      </rPr>
      <t>2024</t>
    </r>
    <r>
      <rPr>
        <sz val="10"/>
        <color theme="1"/>
        <rFont val="宋体"/>
        <charset val="134"/>
      </rPr>
      <t>年</t>
    </r>
    <r>
      <rPr>
        <sz val="10"/>
        <color theme="1"/>
        <rFont val="Times New Roman"/>
        <charset val="134"/>
      </rPr>
      <t>7-12</t>
    </r>
    <r>
      <rPr>
        <sz val="10"/>
        <color theme="1"/>
        <rFont val="宋体"/>
        <charset val="134"/>
      </rPr>
      <t>月工资已单独补发，本月补发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月工资。</t>
    </r>
  </si>
  <si>
    <t xml:space="preserve">      2、本月发放年终一次性奖金。</t>
  </si>
  <si>
    <t xml:space="preserve">      3、因2月工资管理系统工资调标，人员工资关系转接会会影响系统调标数据，故2月工资在原单位发放，3月再进行人员工资基金的转接。</t>
  </si>
  <si>
    <t>单位负责人：</t>
  </si>
  <si>
    <t>分管负责人：</t>
  </si>
  <si>
    <t>财务负责人：</t>
  </si>
  <si>
    <t>审核：</t>
  </si>
  <si>
    <t>2025年02月工资基金 事业变动花名册</t>
  </si>
  <si>
    <t>变动原因</t>
  </si>
  <si>
    <t>变动前后</t>
  </si>
  <si>
    <t>级别/档次/薪级</t>
  </si>
  <si>
    <t>增资小计</t>
  </si>
  <si>
    <t>起停薪时间</t>
  </si>
  <si>
    <t>|工资调标(2024)系统补发|_2025年度补发</t>
  </si>
  <si>
    <t>增减资</t>
  </si>
  <si>
    <t/>
  </si>
  <si>
    <t>年终一次性奖金</t>
  </si>
  <si>
    <t>填报单位（章）：
         高新区财政国资局(事业人员）
填报人：沈丽萍</t>
  </si>
  <si>
    <t xml:space="preserve">主管部门审核意见（章）：
审核人：
审核时间： 
联系电话： </t>
  </si>
  <si>
    <t xml:space="preserve">人社部门审批意见（章）：
审核人：
审核时间： 
联系电话：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</si>
</sst>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1"/>
      <color theme="1"/>
      <name val="Times New Roman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22" fillId="2" borderId="5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vertical="center" wrapText="1" shrinkToFit="1"/>
    </xf>
    <xf numFmtId="0" fontId="0" fillId="0" borderId="1" xfId="0" applyBorder="1" applyAlignment="1">
      <alignment vertical="center" shrinkToFi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shrinkToFit="1"/>
    </xf>
    <xf numFmtId="0" fontId="4" fillId="0" borderId="1" xfId="0" applyFont="1" applyFill="1" applyBorder="1" applyAlignment="1">
      <alignment vertical="center" shrinkToFit="1"/>
    </xf>
    <xf numFmtId="0" fontId="5" fillId="0" borderId="0" xfId="0" applyFont="1" applyFill="1" applyAlignment="1">
      <alignment horizontal="left" vertical="center" shrinkToFit="1"/>
    </xf>
    <xf numFmtId="0" fontId="4" fillId="0" borderId="0" xfId="0" applyFont="1" applyFill="1" applyAlignment="1">
      <alignment horizontal="left" vertical="center" shrinkToFit="1"/>
    </xf>
    <xf numFmtId="0" fontId="2" fillId="0" borderId="0" xfId="0" applyFont="1" applyFill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0" fontId="6" fillId="0" borderId="1" xfId="0" applyFont="1" applyFill="1" applyBorder="1" applyAlignment="1">
      <alignment vertical="center" shrinkToFit="1"/>
    </xf>
    <xf numFmtId="0" fontId="4" fillId="0" borderId="0" xfId="0" applyFont="1" applyFill="1" applyAlignment="1">
      <alignment horizontal="center" vertical="center" shrinkToFit="1"/>
    </xf>
    <xf numFmtId="0" fontId="4" fillId="0" borderId="1" xfId="0" applyFont="1" applyBorder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 quotePrefix="1">
      <alignment vertical="center" shrinkToFit="1"/>
    </xf>
    <xf numFmtId="0" fontId="4" fillId="0" borderId="1" xfId="0" applyFont="1" applyFill="1" applyBorder="1" applyAlignment="1" quotePrefix="1">
      <alignment vertical="center" shrinkToFit="1"/>
    </xf>
    <xf numFmtId="0" fontId="2" fillId="0" borderId="1" xfId="0" applyFont="1" applyBorder="1" applyAlignment="1" quotePrefix="1">
      <alignment horizontal="center" vertical="center" wrapText="1"/>
    </xf>
    <xf numFmtId="0" fontId="2" fillId="0" borderId="1" xfId="0" applyFont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selection activeCell="L5" sqref="L5"/>
    </sheetView>
  </sheetViews>
  <sheetFormatPr defaultColWidth="8.88888888888889" defaultRowHeight="14.4"/>
  <cols>
    <col min="1" max="1" width="4.11111111111111" style="13" customWidth="1"/>
    <col min="2" max="2" width="5.77777777777778" hidden="1" customWidth="1"/>
    <col min="3" max="3" width="8.22222222222222" customWidth="1"/>
    <col min="4" max="4" width="15.3333333333333" customWidth="1"/>
    <col min="5" max="5" width="5.77777777777778" hidden="1" customWidth="1"/>
    <col min="6" max="6" width="9.55555555555556" customWidth="1"/>
    <col min="7" max="7" width="11.1111111111111" customWidth="1"/>
    <col min="8" max="9" width="5.77777777777778" hidden="1" customWidth="1"/>
    <col min="10" max="11" width="8.22222222222222" customWidth="1"/>
    <col min="12" max="13" width="7.11111111111111" customWidth="1"/>
    <col min="14" max="14" width="6.77777777777778" customWidth="1"/>
    <col min="15" max="15" width="5.88888888888889" customWidth="1"/>
    <col min="16" max="16" width="5.44444444444444" customWidth="1"/>
    <col min="17" max="19" width="7.11111111111111" customWidth="1"/>
  </cols>
  <sheetData>
    <row r="1" s="8" customFormat="1" ht="30" customHeight="1" spans="1:20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="9" customFormat="1" ht="28" customHeight="1" spans="1:19">
      <c r="A2" s="15" t="s">
        <v>1</v>
      </c>
      <c r="G2" s="9" t="s">
        <v>2</v>
      </c>
      <c r="J2" s="9" t="s">
        <v>3</v>
      </c>
      <c r="P2" s="26" t="s">
        <v>4</v>
      </c>
      <c r="Q2" s="29"/>
      <c r="R2" s="29"/>
      <c r="S2" s="29"/>
    </row>
    <row r="3" s="10" customFormat="1" ht="69" customHeight="1" spans="1:20">
      <c r="A3" s="16" t="s">
        <v>5</v>
      </c>
      <c r="B3" s="16" t="s">
        <v>6</v>
      </c>
      <c r="C3" s="16" t="s">
        <v>7</v>
      </c>
      <c r="D3" s="16" t="s">
        <v>8</v>
      </c>
      <c r="E3" s="16" t="s">
        <v>9</v>
      </c>
      <c r="F3" s="16" t="s">
        <v>10</v>
      </c>
      <c r="G3" s="16" t="s">
        <v>11</v>
      </c>
      <c r="H3" s="16" t="s">
        <v>12</v>
      </c>
      <c r="I3" s="16" t="s">
        <v>13</v>
      </c>
      <c r="J3" s="16" t="s">
        <v>14</v>
      </c>
      <c r="K3" s="16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  <c r="T3" s="3" t="s">
        <v>24</v>
      </c>
    </row>
    <row r="4" s="9" customFormat="1" ht="24" customHeight="1" spans="1:20">
      <c r="A4" s="17" t="s">
        <v>14</v>
      </c>
      <c r="B4" s="17"/>
      <c r="C4" s="17"/>
      <c r="D4" s="17"/>
      <c r="E4" s="17"/>
      <c r="F4" s="17"/>
      <c r="G4" s="17"/>
      <c r="H4" s="17"/>
      <c r="I4" s="27">
        <f>SUM(I5:I16)</f>
        <v>0</v>
      </c>
      <c r="J4" s="28">
        <f>SUM(J5:J12)</f>
        <v>142809</v>
      </c>
      <c r="K4" s="28">
        <f t="shared" ref="K4:T4" si="0">SUM(K5:K12)</f>
        <v>112599</v>
      </c>
      <c r="L4" s="28">
        <f t="shared" si="0"/>
        <v>30210</v>
      </c>
      <c r="M4" s="28">
        <f t="shared" si="0"/>
        <v>17395</v>
      </c>
      <c r="N4" s="28">
        <f t="shared" si="0"/>
        <v>9448</v>
      </c>
      <c r="O4" s="28">
        <f t="shared" si="0"/>
        <v>2650</v>
      </c>
      <c r="P4" s="28">
        <f t="shared" si="0"/>
        <v>928</v>
      </c>
      <c r="Q4" s="28">
        <f t="shared" si="0"/>
        <v>10</v>
      </c>
      <c r="R4" s="28">
        <f t="shared" si="0"/>
        <v>24088</v>
      </c>
      <c r="S4" s="28">
        <f t="shared" si="0"/>
        <v>39980</v>
      </c>
      <c r="T4" s="28">
        <f t="shared" si="0"/>
        <v>18100</v>
      </c>
    </row>
    <row r="5" s="11" customFormat="1" ht="24" customHeight="1" spans="1:20">
      <c r="A5" s="18">
        <v>1</v>
      </c>
      <c r="B5" s="32" t="s">
        <v>25</v>
      </c>
      <c r="C5" s="19" t="s">
        <v>26</v>
      </c>
      <c r="D5" s="33" t="s">
        <v>27</v>
      </c>
      <c r="E5" s="19"/>
      <c r="F5" s="19" t="s">
        <v>28</v>
      </c>
      <c r="G5" s="19" t="s">
        <v>29</v>
      </c>
      <c r="H5" s="19" t="s">
        <v>30</v>
      </c>
      <c r="I5" s="19" t="s">
        <v>30</v>
      </c>
      <c r="J5" s="28">
        <f>K5+L5</f>
        <v>17023</v>
      </c>
      <c r="K5" s="28">
        <v>13345</v>
      </c>
      <c r="L5" s="28">
        <v>3678</v>
      </c>
      <c r="M5" s="28">
        <v>1940</v>
      </c>
      <c r="N5" s="20">
        <v>1383</v>
      </c>
      <c r="O5" s="28"/>
      <c r="P5" s="28">
        <v>116</v>
      </c>
      <c r="Q5" s="28">
        <v>5</v>
      </c>
      <c r="R5" s="28">
        <v>3114</v>
      </c>
      <c r="S5" s="28">
        <v>4450</v>
      </c>
      <c r="T5" s="30">
        <v>2337</v>
      </c>
    </row>
    <row r="6" s="11" customFormat="1" ht="24" customHeight="1" spans="1:20">
      <c r="A6" s="18">
        <v>2</v>
      </c>
      <c r="B6" s="32" t="s">
        <v>31</v>
      </c>
      <c r="C6" s="19" t="s">
        <v>32</v>
      </c>
      <c r="D6" s="33" t="s">
        <v>33</v>
      </c>
      <c r="E6" s="19"/>
      <c r="F6" s="19" t="s">
        <v>34</v>
      </c>
      <c r="G6" s="19" t="s">
        <v>35</v>
      </c>
      <c r="H6" s="19" t="s">
        <v>30</v>
      </c>
      <c r="I6" s="19" t="s">
        <v>30</v>
      </c>
      <c r="J6" s="28">
        <f t="shared" ref="J6:J12" si="1">K6+L6</f>
        <v>21432</v>
      </c>
      <c r="K6" s="28">
        <v>16423</v>
      </c>
      <c r="L6" s="28">
        <v>5009</v>
      </c>
      <c r="M6" s="28">
        <v>2880</v>
      </c>
      <c r="N6" s="20">
        <v>1603</v>
      </c>
      <c r="O6" s="28"/>
      <c r="P6" s="20">
        <v>116</v>
      </c>
      <c r="Q6" s="28"/>
      <c r="R6" s="28">
        <v>3309</v>
      </c>
      <c r="S6" s="28">
        <v>5960</v>
      </c>
      <c r="T6" s="30">
        <v>2555</v>
      </c>
    </row>
    <row r="7" s="11" customFormat="1" ht="24" customHeight="1" spans="1:20">
      <c r="A7" s="18">
        <v>3</v>
      </c>
      <c r="B7" s="32" t="s">
        <v>36</v>
      </c>
      <c r="C7" s="19" t="s">
        <v>37</v>
      </c>
      <c r="D7" s="33" t="s">
        <v>38</v>
      </c>
      <c r="E7" s="19"/>
      <c r="F7" s="19" t="s">
        <v>34</v>
      </c>
      <c r="G7" s="19" t="s">
        <v>39</v>
      </c>
      <c r="H7" s="19" t="s">
        <v>30</v>
      </c>
      <c r="I7" s="19" t="s">
        <v>30</v>
      </c>
      <c r="J7" s="28">
        <f t="shared" si="1"/>
        <v>19002</v>
      </c>
      <c r="K7" s="28">
        <v>14557</v>
      </c>
      <c r="L7" s="28">
        <v>4445</v>
      </c>
      <c r="M7" s="28">
        <v>2520</v>
      </c>
      <c r="N7" s="20">
        <v>1427</v>
      </c>
      <c r="O7" s="28"/>
      <c r="P7" s="20">
        <v>116</v>
      </c>
      <c r="Q7" s="28"/>
      <c r="R7" s="28">
        <v>3124</v>
      </c>
      <c r="S7" s="28">
        <v>5050</v>
      </c>
      <c r="T7" s="30">
        <v>2320</v>
      </c>
    </row>
    <row r="8" s="11" customFormat="1" ht="24" customHeight="1" spans="1:20">
      <c r="A8" s="18">
        <v>4</v>
      </c>
      <c r="B8" s="32" t="s">
        <v>40</v>
      </c>
      <c r="C8" s="19" t="s">
        <v>41</v>
      </c>
      <c r="D8" s="33" t="s">
        <v>42</v>
      </c>
      <c r="E8" s="19"/>
      <c r="F8" s="19" t="s">
        <v>34</v>
      </c>
      <c r="G8" s="19" t="s">
        <v>43</v>
      </c>
      <c r="H8" s="19" t="s">
        <v>30</v>
      </c>
      <c r="I8" s="19" t="s">
        <v>30</v>
      </c>
      <c r="J8" s="28">
        <f t="shared" si="1"/>
        <v>25989</v>
      </c>
      <c r="K8" s="28">
        <v>19489</v>
      </c>
      <c r="L8" s="28">
        <v>6500</v>
      </c>
      <c r="M8" s="28">
        <v>3455</v>
      </c>
      <c r="N8" s="20">
        <v>2375</v>
      </c>
      <c r="O8" s="28"/>
      <c r="P8" s="28">
        <v>116</v>
      </c>
      <c r="Q8" s="28">
        <v>5</v>
      </c>
      <c r="R8" s="28">
        <v>3742</v>
      </c>
      <c r="S8" s="28">
        <v>6920</v>
      </c>
      <c r="T8" s="30">
        <v>2876</v>
      </c>
    </row>
    <row r="9" s="11" customFormat="1" ht="24" customHeight="1" spans="1:20">
      <c r="A9" s="18">
        <v>5</v>
      </c>
      <c r="B9" s="32" t="s">
        <v>44</v>
      </c>
      <c r="C9" s="19" t="s">
        <v>45</v>
      </c>
      <c r="D9" s="33" t="s">
        <v>46</v>
      </c>
      <c r="E9" s="19"/>
      <c r="F9" s="19" t="s">
        <v>34</v>
      </c>
      <c r="G9" s="19" t="s">
        <v>47</v>
      </c>
      <c r="H9" s="19" t="s">
        <v>30</v>
      </c>
      <c r="I9" s="19" t="s">
        <v>30</v>
      </c>
      <c r="J9" s="28">
        <f t="shared" si="1"/>
        <v>16617</v>
      </c>
      <c r="K9" s="28">
        <v>13131</v>
      </c>
      <c r="L9" s="28">
        <v>3486</v>
      </c>
      <c r="M9" s="28">
        <v>2200</v>
      </c>
      <c r="N9" s="20">
        <v>934</v>
      </c>
      <c r="O9" s="28"/>
      <c r="P9" s="20">
        <v>116</v>
      </c>
      <c r="Q9" s="28"/>
      <c r="R9" s="28">
        <v>3099</v>
      </c>
      <c r="S9" s="28">
        <v>4450</v>
      </c>
      <c r="T9" s="30">
        <v>2332</v>
      </c>
    </row>
    <row r="10" s="11" customFormat="1" ht="24" customHeight="1" spans="1:20">
      <c r="A10" s="18">
        <v>6</v>
      </c>
      <c r="B10" s="32" t="s">
        <v>48</v>
      </c>
      <c r="C10" s="19" t="s">
        <v>49</v>
      </c>
      <c r="D10" s="33" t="s">
        <v>50</v>
      </c>
      <c r="E10" s="19"/>
      <c r="F10" s="19" t="s">
        <v>34</v>
      </c>
      <c r="G10" s="19" t="s">
        <v>47</v>
      </c>
      <c r="H10" s="19" t="s">
        <v>30</v>
      </c>
      <c r="I10" s="19" t="s">
        <v>30</v>
      </c>
      <c r="J10" s="28">
        <f t="shared" si="1"/>
        <v>16411</v>
      </c>
      <c r="K10" s="28">
        <v>13010</v>
      </c>
      <c r="L10" s="28">
        <v>3401</v>
      </c>
      <c r="M10" s="28">
        <v>2200</v>
      </c>
      <c r="N10" s="20">
        <v>863</v>
      </c>
      <c r="O10" s="28"/>
      <c r="P10" s="20">
        <v>116</v>
      </c>
      <c r="Q10" s="28"/>
      <c r="R10" s="28">
        <v>3099</v>
      </c>
      <c r="S10" s="28">
        <v>4400</v>
      </c>
      <c r="T10" s="30">
        <v>2332</v>
      </c>
    </row>
    <row r="11" s="11" customFormat="1" ht="24" customHeight="1" spans="1:20">
      <c r="A11" s="18">
        <v>7</v>
      </c>
      <c r="B11" s="32" t="s">
        <v>51</v>
      </c>
      <c r="C11" s="19" t="s">
        <v>52</v>
      </c>
      <c r="D11" s="33" t="s">
        <v>53</v>
      </c>
      <c r="E11" s="19"/>
      <c r="F11" s="19" t="s">
        <v>34</v>
      </c>
      <c r="G11" s="19" t="s">
        <v>47</v>
      </c>
      <c r="H11" s="19" t="s">
        <v>30</v>
      </c>
      <c r="I11" s="19" t="s">
        <v>30</v>
      </c>
      <c r="J11" s="28">
        <f t="shared" si="1"/>
        <v>16411</v>
      </c>
      <c r="K11" s="28">
        <v>13010</v>
      </c>
      <c r="L11" s="28">
        <v>3401</v>
      </c>
      <c r="M11" s="28">
        <v>2200</v>
      </c>
      <c r="N11" s="20">
        <v>863</v>
      </c>
      <c r="O11" s="28"/>
      <c r="P11" s="20">
        <v>116</v>
      </c>
      <c r="Q11" s="28"/>
      <c r="R11" s="28">
        <v>3099</v>
      </c>
      <c r="S11" s="28">
        <v>4400</v>
      </c>
      <c r="T11" s="30">
        <v>2332</v>
      </c>
    </row>
    <row r="12" s="12" customFormat="1" ht="24" customHeight="1" spans="1:20">
      <c r="A12" s="18">
        <v>8</v>
      </c>
      <c r="B12" s="32" t="s">
        <v>54</v>
      </c>
      <c r="C12" s="19" t="s">
        <v>55</v>
      </c>
      <c r="D12" s="33" t="s">
        <v>56</v>
      </c>
      <c r="E12" s="19"/>
      <c r="F12" s="19" t="s">
        <v>34</v>
      </c>
      <c r="G12" s="19" t="s">
        <v>57</v>
      </c>
      <c r="H12" s="19" t="s">
        <v>30</v>
      </c>
      <c r="I12" s="19" t="s">
        <v>30</v>
      </c>
      <c r="J12" s="28">
        <f t="shared" si="1"/>
        <v>9924</v>
      </c>
      <c r="K12" s="28">
        <v>9634</v>
      </c>
      <c r="L12" s="28">
        <v>290</v>
      </c>
      <c r="M12" s="20"/>
      <c r="N12" s="28"/>
      <c r="O12" s="28">
        <v>2650</v>
      </c>
      <c r="P12" s="20">
        <v>116</v>
      </c>
      <c r="Q12" s="28"/>
      <c r="R12" s="28">
        <v>1502</v>
      </c>
      <c r="S12" s="28">
        <v>4350</v>
      </c>
      <c r="T12" s="31">
        <v>1016</v>
      </c>
    </row>
    <row r="13" s="12" customFormat="1" ht="17" customHeight="1" spans="1:20">
      <c r="A13" s="21" t="s">
        <v>58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 s="12" customFormat="1" ht="17" customHeight="1" spans="1:20">
      <c r="A14" s="23" t="s">
        <v>59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customFormat="1" ht="17" customHeight="1" spans="1:21">
      <c r="A15" s="24" t="s">
        <v>60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8"/>
    </row>
    <row r="16" s="12" customFormat="1" ht="39" customHeight="1" spans="1:17">
      <c r="A16" s="25" t="s">
        <v>61</v>
      </c>
      <c r="G16" s="12" t="s">
        <v>62</v>
      </c>
      <c r="L16" s="12" t="s">
        <v>63</v>
      </c>
      <c r="Q16" s="12" t="s">
        <v>64</v>
      </c>
    </row>
  </sheetData>
  <mergeCells count="9">
    <mergeCell ref="A1:T1"/>
    <mergeCell ref="A2:F2"/>
    <mergeCell ref="G2:H2"/>
    <mergeCell ref="J2:M2"/>
    <mergeCell ref="P2:S2"/>
    <mergeCell ref="A4:H4"/>
    <mergeCell ref="A13:T13"/>
    <mergeCell ref="A14:T14"/>
    <mergeCell ref="A15:T15"/>
  </mergeCells>
  <printOptions horizontalCentered="1"/>
  <pageMargins left="0.550694444444444" right="0.354166666666667" top="0.629861111111111" bottom="0.865972222222222" header="0.5" footer="0.5"/>
  <pageSetup paperSize="9" orientation="landscape"/>
  <headerFooter>
    <oddFooter>&amp;C第&amp;P页/共&amp;N页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K3" sqref="K3:K17"/>
    </sheetView>
  </sheetViews>
  <sheetFormatPr defaultColWidth="8.88888888888889" defaultRowHeight="14.4"/>
  <cols>
    <col min="1" max="1" width="6.66666666666667" customWidth="1"/>
    <col min="2" max="2" width="7.33333333333333" customWidth="1"/>
    <col min="3" max="3" width="37.7777777777778" customWidth="1"/>
    <col min="4" max="4" width="7.33333333333333" style="1" customWidth="1"/>
    <col min="5" max="5" width="11" customWidth="1"/>
    <col min="6" max="6" width="13.4444444444444" customWidth="1"/>
    <col min="7" max="7" width="6.33333333333333" customWidth="1"/>
    <col min="8" max="8" width="8.11111111111111" customWidth="1"/>
    <col min="9" max="9" width="4.66666666666667" customWidth="1"/>
    <col min="10" max="10" width="5.88888888888889" customWidth="1"/>
    <col min="11" max="11" width="8" customWidth="1"/>
    <col min="12" max="12" width="7.44444444444444" customWidth="1"/>
    <col min="13" max="14" width="5.66666666666667" customWidth="1"/>
  </cols>
  <sheetData>
    <row r="1" ht="31" customHeight="1" spans="1:1">
      <c r="A1" s="2" t="s">
        <v>65</v>
      </c>
    </row>
    <row r="2" ht="48" customHeight="1" spans="1:14">
      <c r="A2" s="34" t="s">
        <v>6</v>
      </c>
      <c r="B2" s="3" t="s">
        <v>7</v>
      </c>
      <c r="C2" s="3" t="s">
        <v>66</v>
      </c>
      <c r="D2" s="3" t="s">
        <v>67</v>
      </c>
      <c r="E2" s="3" t="s">
        <v>10</v>
      </c>
      <c r="F2" s="3" t="s">
        <v>11</v>
      </c>
      <c r="G2" s="34" t="s">
        <v>68</v>
      </c>
      <c r="H2" s="3" t="s">
        <v>14</v>
      </c>
      <c r="I2" s="3" t="s">
        <v>69</v>
      </c>
      <c r="J2" s="3" t="s">
        <v>70</v>
      </c>
      <c r="K2" s="3" t="s">
        <v>16</v>
      </c>
      <c r="L2" s="3" t="s">
        <v>19</v>
      </c>
      <c r="M2" s="3" t="s">
        <v>17</v>
      </c>
      <c r="N2" s="3" t="s">
        <v>18</v>
      </c>
    </row>
    <row r="3" ht="19" customHeight="1" spans="1:14">
      <c r="A3" s="35" t="s">
        <v>25</v>
      </c>
      <c r="B3" s="4" t="s">
        <v>26</v>
      </c>
      <c r="C3" s="5" t="s">
        <v>71</v>
      </c>
      <c r="D3" s="4" t="s">
        <v>72</v>
      </c>
      <c r="E3" s="4" t="s">
        <v>28</v>
      </c>
      <c r="F3" s="4" t="s">
        <v>29</v>
      </c>
      <c r="G3" s="35" t="s">
        <v>73</v>
      </c>
      <c r="H3" s="6">
        <v>355</v>
      </c>
      <c r="I3" s="4"/>
      <c r="J3" s="4"/>
      <c r="K3" s="6">
        <v>355</v>
      </c>
      <c r="L3" s="4"/>
      <c r="M3" s="4"/>
      <c r="N3" s="4"/>
    </row>
    <row r="4" ht="19" customHeight="1" spans="1:14">
      <c r="A4" s="35" t="s">
        <v>31</v>
      </c>
      <c r="B4" s="4" t="s">
        <v>32</v>
      </c>
      <c r="C4" s="5" t="s">
        <v>71</v>
      </c>
      <c r="D4" s="4" t="s">
        <v>72</v>
      </c>
      <c r="E4" s="4" t="s">
        <v>34</v>
      </c>
      <c r="F4" s="4" t="s">
        <v>35</v>
      </c>
      <c r="G4" s="35" t="s">
        <v>73</v>
      </c>
      <c r="H4" s="6">
        <v>526</v>
      </c>
      <c r="I4" s="4"/>
      <c r="J4" s="4"/>
      <c r="K4" s="6">
        <v>526</v>
      </c>
      <c r="L4" s="4"/>
      <c r="M4" s="4"/>
      <c r="N4" s="4"/>
    </row>
    <row r="5" ht="19" customHeight="1" spans="1:14">
      <c r="A5" s="35" t="s">
        <v>36</v>
      </c>
      <c r="B5" s="4" t="s">
        <v>37</v>
      </c>
      <c r="C5" s="5" t="s">
        <v>71</v>
      </c>
      <c r="D5" s="4" t="s">
        <v>72</v>
      </c>
      <c r="E5" s="4" t="s">
        <v>34</v>
      </c>
      <c r="F5" s="4" t="s">
        <v>39</v>
      </c>
      <c r="G5" s="35" t="s">
        <v>73</v>
      </c>
      <c r="H5" s="6">
        <v>498</v>
      </c>
      <c r="I5" s="4"/>
      <c r="J5" s="4"/>
      <c r="K5" s="6">
        <v>498</v>
      </c>
      <c r="L5" s="4"/>
      <c r="M5" s="4"/>
      <c r="N5" s="4"/>
    </row>
    <row r="6" ht="19" customHeight="1" spans="1:14">
      <c r="A6" s="35" t="s">
        <v>40</v>
      </c>
      <c r="B6" s="4" t="s">
        <v>41</v>
      </c>
      <c r="C6" s="5" t="s">
        <v>71</v>
      </c>
      <c r="D6" s="4" t="s">
        <v>72</v>
      </c>
      <c r="E6" s="4" t="s">
        <v>34</v>
      </c>
      <c r="F6" s="4" t="s">
        <v>43</v>
      </c>
      <c r="G6" s="35" t="s">
        <v>73</v>
      </c>
      <c r="H6" s="6">
        <v>670</v>
      </c>
      <c r="I6" s="4"/>
      <c r="J6" s="4"/>
      <c r="K6" s="6">
        <v>670</v>
      </c>
      <c r="L6" s="4"/>
      <c r="M6" s="4"/>
      <c r="N6" s="4"/>
    </row>
    <row r="7" ht="19" customHeight="1" spans="1:14">
      <c r="A7" s="35" t="s">
        <v>44</v>
      </c>
      <c r="B7" s="4" t="s">
        <v>45</v>
      </c>
      <c r="C7" s="5" t="s">
        <v>71</v>
      </c>
      <c r="D7" s="4" t="s">
        <v>72</v>
      </c>
      <c r="E7" s="4" t="s">
        <v>34</v>
      </c>
      <c r="F7" s="4" t="s">
        <v>47</v>
      </c>
      <c r="G7" s="35" t="s">
        <v>73</v>
      </c>
      <c r="H7" s="6">
        <v>352</v>
      </c>
      <c r="I7" s="4"/>
      <c r="J7" s="4"/>
      <c r="K7" s="6">
        <v>352</v>
      </c>
      <c r="L7" s="4"/>
      <c r="M7" s="4"/>
      <c r="N7" s="4"/>
    </row>
    <row r="8" ht="19" customHeight="1" spans="1:14">
      <c r="A8" s="35" t="s">
        <v>48</v>
      </c>
      <c r="B8" s="4" t="s">
        <v>49</v>
      </c>
      <c r="C8" s="5" t="s">
        <v>71</v>
      </c>
      <c r="D8" s="4" t="s">
        <v>72</v>
      </c>
      <c r="E8" s="4" t="s">
        <v>34</v>
      </c>
      <c r="F8" s="4" t="s">
        <v>47</v>
      </c>
      <c r="G8" s="35" t="s">
        <v>73</v>
      </c>
      <c r="H8" s="6">
        <v>338</v>
      </c>
      <c r="I8" s="4"/>
      <c r="J8" s="4"/>
      <c r="K8" s="6">
        <v>338</v>
      </c>
      <c r="L8" s="4"/>
      <c r="M8" s="4"/>
      <c r="N8" s="4"/>
    </row>
    <row r="9" ht="19" customHeight="1" spans="1:14">
      <c r="A9" s="35" t="s">
        <v>51</v>
      </c>
      <c r="B9" s="4" t="s">
        <v>52</v>
      </c>
      <c r="C9" s="5" t="s">
        <v>71</v>
      </c>
      <c r="D9" s="4" t="s">
        <v>72</v>
      </c>
      <c r="E9" s="4" t="s">
        <v>34</v>
      </c>
      <c r="F9" s="4" t="s">
        <v>47</v>
      </c>
      <c r="G9" s="35" t="s">
        <v>73</v>
      </c>
      <c r="H9" s="6">
        <v>338</v>
      </c>
      <c r="I9" s="4"/>
      <c r="J9" s="4"/>
      <c r="K9" s="6">
        <v>338</v>
      </c>
      <c r="L9" s="4"/>
      <c r="M9" s="4"/>
      <c r="N9" s="4"/>
    </row>
    <row r="10" ht="19" customHeight="1" spans="1:14">
      <c r="A10" s="35" t="s">
        <v>54</v>
      </c>
      <c r="B10" s="4" t="s">
        <v>55</v>
      </c>
      <c r="C10" s="5" t="s">
        <v>71</v>
      </c>
      <c r="D10" s="4" t="s">
        <v>72</v>
      </c>
      <c r="E10" s="4" t="s">
        <v>34</v>
      </c>
      <c r="F10" s="4" t="s">
        <v>57</v>
      </c>
      <c r="G10" s="35" t="s">
        <v>73</v>
      </c>
      <c r="H10" s="6">
        <v>290</v>
      </c>
      <c r="I10" s="4"/>
      <c r="J10" s="4"/>
      <c r="K10" s="6">
        <v>290</v>
      </c>
      <c r="L10" s="4"/>
      <c r="M10" s="4"/>
      <c r="N10" s="4"/>
    </row>
    <row r="11" ht="19" customHeight="1" spans="1:14">
      <c r="A11" s="35" t="s">
        <v>25</v>
      </c>
      <c r="B11" s="4" t="s">
        <v>26</v>
      </c>
      <c r="C11" s="5" t="s">
        <v>74</v>
      </c>
      <c r="D11" s="4" t="s">
        <v>72</v>
      </c>
      <c r="E11" s="4" t="s">
        <v>28</v>
      </c>
      <c r="F11" s="4" t="s">
        <v>29</v>
      </c>
      <c r="G11" s="35" t="s">
        <v>73</v>
      </c>
      <c r="H11" s="6">
        <v>3323</v>
      </c>
      <c r="I11" s="4"/>
      <c r="J11" s="4"/>
      <c r="K11" s="6">
        <v>3323</v>
      </c>
      <c r="L11" s="4"/>
      <c r="M11" s="4"/>
      <c r="N11" s="4"/>
    </row>
    <row r="12" ht="19" customHeight="1" spans="1:14">
      <c r="A12" s="35" t="s">
        <v>31</v>
      </c>
      <c r="B12" s="4" t="s">
        <v>32</v>
      </c>
      <c r="C12" s="5" t="s">
        <v>74</v>
      </c>
      <c r="D12" s="4" t="s">
        <v>72</v>
      </c>
      <c r="E12" s="4" t="s">
        <v>34</v>
      </c>
      <c r="F12" s="4" t="s">
        <v>35</v>
      </c>
      <c r="G12" s="35" t="s">
        <v>73</v>
      </c>
      <c r="H12" s="6">
        <v>4483</v>
      </c>
      <c r="I12" s="4"/>
      <c r="J12" s="4"/>
      <c r="K12" s="6">
        <v>4483</v>
      </c>
      <c r="L12" s="4"/>
      <c r="M12" s="4"/>
      <c r="N12" s="4"/>
    </row>
    <row r="13" ht="19" customHeight="1" spans="1:14">
      <c r="A13" s="35" t="s">
        <v>36</v>
      </c>
      <c r="B13" s="4" t="s">
        <v>37</v>
      </c>
      <c r="C13" s="5" t="s">
        <v>74</v>
      </c>
      <c r="D13" s="4" t="s">
        <v>72</v>
      </c>
      <c r="E13" s="4" t="s">
        <v>34</v>
      </c>
      <c r="F13" s="4" t="s">
        <v>39</v>
      </c>
      <c r="G13" s="35" t="s">
        <v>73</v>
      </c>
      <c r="H13" s="6">
        <v>3947</v>
      </c>
      <c r="I13" s="4"/>
      <c r="J13" s="4"/>
      <c r="K13" s="6">
        <v>3947</v>
      </c>
      <c r="L13" s="4"/>
      <c r="M13" s="4"/>
      <c r="N13" s="4"/>
    </row>
    <row r="14" ht="19" customHeight="1" spans="1:14">
      <c r="A14" s="35" t="s">
        <v>40</v>
      </c>
      <c r="B14" s="4" t="s">
        <v>41</v>
      </c>
      <c r="C14" s="5" t="s">
        <v>74</v>
      </c>
      <c r="D14" s="4" t="s">
        <v>72</v>
      </c>
      <c r="E14" s="4" t="s">
        <v>34</v>
      </c>
      <c r="F14" s="4" t="s">
        <v>43</v>
      </c>
      <c r="G14" s="35" t="s">
        <v>73</v>
      </c>
      <c r="H14" s="6">
        <v>5830</v>
      </c>
      <c r="I14" s="4"/>
      <c r="J14" s="4"/>
      <c r="K14" s="6">
        <v>5830</v>
      </c>
      <c r="L14" s="4"/>
      <c r="M14" s="4"/>
      <c r="N14" s="4"/>
    </row>
    <row r="15" ht="19" customHeight="1" spans="1:14">
      <c r="A15" s="35" t="s">
        <v>44</v>
      </c>
      <c r="B15" s="4" t="s">
        <v>45</v>
      </c>
      <c r="C15" s="5" t="s">
        <v>74</v>
      </c>
      <c r="D15" s="4" t="s">
        <v>72</v>
      </c>
      <c r="E15" s="4" t="s">
        <v>34</v>
      </c>
      <c r="F15" s="4" t="s">
        <v>47</v>
      </c>
      <c r="G15" s="35" t="s">
        <v>73</v>
      </c>
      <c r="H15" s="6">
        <v>3134</v>
      </c>
      <c r="I15" s="4"/>
      <c r="J15" s="4"/>
      <c r="K15" s="6">
        <v>3134</v>
      </c>
      <c r="L15" s="4"/>
      <c r="M15" s="4"/>
      <c r="N15" s="4"/>
    </row>
    <row r="16" ht="19" customHeight="1" spans="1:14">
      <c r="A16" s="35" t="s">
        <v>48</v>
      </c>
      <c r="B16" s="4" t="s">
        <v>49</v>
      </c>
      <c r="C16" s="5" t="s">
        <v>74</v>
      </c>
      <c r="D16" s="4" t="s">
        <v>72</v>
      </c>
      <c r="E16" s="4" t="s">
        <v>34</v>
      </c>
      <c r="F16" s="4" t="s">
        <v>47</v>
      </c>
      <c r="G16" s="35" t="s">
        <v>73</v>
      </c>
      <c r="H16" s="6">
        <v>3063</v>
      </c>
      <c r="I16" s="4"/>
      <c r="J16" s="4"/>
      <c r="K16" s="6">
        <v>3063</v>
      </c>
      <c r="L16" s="4"/>
      <c r="M16" s="4"/>
      <c r="N16" s="4"/>
    </row>
    <row r="17" ht="19" customHeight="1" spans="1:14">
      <c r="A17" s="35" t="s">
        <v>51</v>
      </c>
      <c r="B17" s="4" t="s">
        <v>52</v>
      </c>
      <c r="C17" s="5" t="s">
        <v>74</v>
      </c>
      <c r="D17" s="4" t="s">
        <v>72</v>
      </c>
      <c r="E17" s="4" t="s">
        <v>34</v>
      </c>
      <c r="F17" s="4" t="s">
        <v>47</v>
      </c>
      <c r="G17" s="35" t="s">
        <v>73</v>
      </c>
      <c r="H17" s="6">
        <v>3063</v>
      </c>
      <c r="I17" s="4"/>
      <c r="J17" s="4"/>
      <c r="K17" s="6">
        <v>3063</v>
      </c>
      <c r="L17" s="4"/>
      <c r="M17" s="4"/>
      <c r="N17" s="4"/>
    </row>
    <row r="18" ht="147" customHeight="1" spans="1:14">
      <c r="A18" s="5" t="s">
        <v>75</v>
      </c>
      <c r="B18" s="4"/>
      <c r="C18" s="4"/>
      <c r="D18" s="4"/>
      <c r="E18" s="4"/>
      <c r="F18" s="5" t="s">
        <v>76</v>
      </c>
      <c r="G18" s="7"/>
      <c r="H18" s="7"/>
      <c r="I18" s="7"/>
      <c r="J18" s="7"/>
      <c r="K18" s="5" t="s">
        <v>77</v>
      </c>
      <c r="L18" s="7"/>
      <c r="M18" s="7"/>
      <c r="N18" s="7"/>
    </row>
  </sheetData>
  <mergeCells count="4">
    <mergeCell ref="A1:N1"/>
    <mergeCell ref="A18:E18"/>
    <mergeCell ref="F18:J18"/>
    <mergeCell ref="K18:N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工资</vt:lpstr>
      <vt:lpstr>变动花名册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2025-01-15T08:12:00Z</dcterms:created>
  <dcterms:modified xsi:type="dcterms:W3CDTF">2025-01-16T07:39:22Z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