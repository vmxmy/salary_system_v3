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27"/>
  </bookViews>
  <sheets>
    <sheet name="Sheet1" sheetId="1" r:id="rId1"/>
    <sheet name="变动花名册" sheetId="2" r:id="rId2"/>
  </sheets>
  <definedNames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<sst xmlns="http://schemas.openxmlformats.org/spreadsheetml/2006/main" count="197" uniqueCount="74">
  <si>
    <t>2025年02月工资基金 机关工资发放表</t>
  </si>
  <si>
    <t>单位名称：高新区财政国资局（公务员）</t>
  </si>
  <si>
    <t>单位：元</t>
  </si>
  <si>
    <t>经办人签字:</t>
  </si>
  <si>
    <t>制表时间：2025.1.15</t>
  </si>
  <si>
    <t>序号</t>
  </si>
  <si>
    <t>人员编号</t>
  </si>
  <si>
    <t>人员姓名</t>
  </si>
  <si>
    <t>身份证</t>
  </si>
  <si>
    <t>部门</t>
  </si>
  <si>
    <t>人员身份</t>
  </si>
  <si>
    <t>人员职级</t>
  </si>
  <si>
    <t>工资统发</t>
  </si>
  <si>
    <t>财政供养</t>
  </si>
  <si>
    <t>合计</t>
  </si>
  <si>
    <t>小计</t>
  </si>
  <si>
    <t>一次性补扣发</t>
  </si>
  <si>
    <t>职务/技术等级 工资</t>
  </si>
  <si>
    <t>级别/岗位级别 工资</t>
  </si>
  <si>
    <t>93年工改保留补贴</t>
  </si>
  <si>
    <t>独生子女父母奖励金</t>
  </si>
  <si>
    <t>岗位职务补贴</t>
  </si>
  <si>
    <t>公务员规范性津贴补贴</t>
  </si>
  <si>
    <t>公务交通补贴</t>
  </si>
  <si>
    <t>基础绩效奖</t>
  </si>
  <si>
    <t>00003</t>
  </si>
  <si>
    <t>汪琳</t>
  </si>
  <si>
    <t>510103197108310040</t>
  </si>
  <si>
    <t>已登记公务员</t>
  </si>
  <si>
    <t>县处级正职</t>
  </si>
  <si>
    <t>是</t>
  </si>
  <si>
    <t>00004</t>
  </si>
  <si>
    <t>韩霜</t>
  </si>
  <si>
    <t>511002197402181525</t>
  </si>
  <si>
    <t>00007</t>
  </si>
  <si>
    <t>李薇</t>
  </si>
  <si>
    <t>510212197210121627</t>
  </si>
  <si>
    <t>综合类公务员</t>
  </si>
  <si>
    <t>一级主任科员</t>
  </si>
  <si>
    <t>00008</t>
  </si>
  <si>
    <t>蒲薇</t>
  </si>
  <si>
    <t>510104198105140665</t>
  </si>
  <si>
    <t>00010</t>
  </si>
  <si>
    <t>吕果</t>
  </si>
  <si>
    <t>510107197509030897</t>
  </si>
  <si>
    <t>机关技术工人</t>
  </si>
  <si>
    <t>高级工</t>
  </si>
  <si>
    <t>00016</t>
  </si>
  <si>
    <t>黄明</t>
  </si>
  <si>
    <t>513401196804180245</t>
  </si>
  <si>
    <t>00017</t>
  </si>
  <si>
    <t>冉光俊</t>
  </si>
  <si>
    <t>510103197309155710</t>
  </si>
  <si>
    <t>一级调研员</t>
  </si>
  <si>
    <t>备注：1、2024年7月工资调标，2024年7-12月工资已单独补发，本月补发1月工资。</t>
  </si>
  <si>
    <t xml:space="preserve">      2、本月发放年终一次性奖金。</t>
  </si>
  <si>
    <t xml:space="preserve">      3、因2月工资管理系统工资调标，人员工资关系转接会影响系统调标数据，故2月工资在原单位发放，3月再进行人员工资基金的转接。</t>
  </si>
  <si>
    <t>单位负责人：</t>
  </si>
  <si>
    <t>分管负责人：</t>
  </si>
  <si>
    <t>财务负责人：</t>
  </si>
  <si>
    <t>审核：</t>
  </si>
  <si>
    <t>2025年02月工资基金 机关变动花名册</t>
  </si>
  <si>
    <t>变动原因</t>
  </si>
  <si>
    <t>变动前后</t>
  </si>
  <si>
    <t>级别/档次/薪级</t>
  </si>
  <si>
    <t>增资小计</t>
  </si>
  <si>
    <t>起停薪时间</t>
  </si>
  <si>
    <t>|工资调标(2024)系统补发|_2025年度补发</t>
  </si>
  <si>
    <t>增减资</t>
  </si>
  <si>
    <t/>
  </si>
  <si>
    <t>年终一次性奖金</t>
  </si>
  <si>
    <t>填报单位（章）：
         高新区财政局（公务员）
填报人：沈丽萍</t>
  </si>
  <si>
    <t xml:space="preserve">主管部门审核意见（章）：
审核人：
审核时间： 
联系电话： </t>
  </si>
  <si>
    <t xml:space="preserve">审批机关意见（章）：
审核人：
审核时间： 
联系电话：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</si>
</sst>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8"/>
      <color theme="1"/>
      <name val="楷体_GB2312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1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2" borderId="3" applyNumberFormat="0" applyFon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12" fillId="23" borderId="4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shrinkToFit="1"/>
    </xf>
    <xf numFmtId="0" fontId="2" fillId="0" borderId="1" xfId="0" applyFont="1" applyBorder="1" applyAlignment="1">
      <alignment vertical="center" wrapText="1" shrinkToFit="1"/>
    </xf>
    <xf numFmtId="0" fontId="0" fillId="0" borderId="1" xfId="0" applyBorder="1" applyAlignment="1">
      <alignment vertical="center" shrinkToFit="1"/>
    </xf>
    <xf numFmtId="0" fontId="0" fillId="0" borderId="1" xfId="0" applyBorder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 shrinkToFi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left" vertical="center" shrinkToFi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 shrinkToFit="1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right" vertical="center" shrinkToFit="1"/>
    </xf>
    <xf numFmtId="0" fontId="2" fillId="0" borderId="0" xfId="0" applyFont="1" applyFill="1" applyAlignment="1">
      <alignment horizontal="center" vertical="center" shrinkToFit="1"/>
    </xf>
    <xf numFmtId="0" fontId="0" fillId="0" borderId="1" xfId="0" applyFill="1" applyBorder="1" applyAlignment="1">
      <alignment vertical="center" shrinkToFit="1"/>
    </xf>
    <xf numFmtId="0" fontId="2" fillId="0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 quotePrefix="1">
      <alignment vertical="center" shrinkToFit="1"/>
    </xf>
    <xf numFmtId="0" fontId="2" fillId="0" borderId="1" xfId="0" applyFont="1" applyBorder="1" applyAlignment="1" quotePrefix="1">
      <alignment horizontal="center" vertical="center" wrapText="1"/>
    </xf>
    <xf numFmtId="0" fontId="2" fillId="0" borderId="1" xfId="0" applyFont="1" applyBorder="1" applyAlignment="1" quotePrefix="1">
      <alignment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"/>
  <sheetViews>
    <sheetView tabSelected="1" workbookViewId="0">
      <selection activeCell="Y5" sqref="Y5"/>
    </sheetView>
  </sheetViews>
  <sheetFormatPr defaultColWidth="8.88888888888889" defaultRowHeight="14.4"/>
  <cols>
    <col min="1" max="1" width="4.55555555555556" style="12" customWidth="1"/>
    <col min="2" max="2" width="6.66666666666667" style="8" hidden="1" customWidth="1"/>
    <col min="3" max="3" width="7.33333333333333" style="8" customWidth="1"/>
    <col min="4" max="4" width="16.2222222222222" style="8" customWidth="1"/>
    <col min="5" max="5" width="4.55555555555556" style="8" hidden="1" customWidth="1"/>
    <col min="6" max="6" width="12.6666666666667" style="8" customWidth="1"/>
    <col min="7" max="7" width="12.4444444444444" style="8" customWidth="1"/>
    <col min="8" max="9" width="4.55555555555556" style="8" hidden="1" customWidth="1"/>
    <col min="10" max="10" width="8.11111111111111" style="8" customWidth="1"/>
    <col min="11" max="11" width="7.66666666666667" style="8" customWidth="1"/>
    <col min="12" max="13" width="7.22222222222222" style="8" customWidth="1"/>
    <col min="14" max="14" width="7.66666666666667" style="8" customWidth="1"/>
    <col min="15" max="16" width="6.88888888888889" style="8" customWidth="1"/>
    <col min="17" max="17" width="7.22222222222222" style="8" customWidth="1"/>
    <col min="18" max="18" width="6.77777777777778" style="8" customWidth="1"/>
    <col min="19" max="19" width="7.33333333333333" style="8" customWidth="1"/>
    <col min="20" max="20" width="7.66666666666667" style="8" customWidth="1"/>
    <col min="21" max="16384" width="8.88888888888889" style="8"/>
  </cols>
  <sheetData>
    <row r="1" s="8" customFormat="1" ht="30" customHeight="1" spans="1:19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="9" customFormat="1" ht="31" customHeight="1" spans="1:19">
      <c r="A2" s="15" t="s">
        <v>1</v>
      </c>
      <c r="G2" s="9" t="s">
        <v>2</v>
      </c>
      <c r="J2" s="22" t="s">
        <v>3</v>
      </c>
      <c r="K2" s="22"/>
      <c r="L2" s="22"/>
      <c r="M2" s="22"/>
      <c r="P2" s="23" t="s">
        <v>4</v>
      </c>
      <c r="Q2" s="23"/>
      <c r="R2" s="23"/>
      <c r="S2" s="23"/>
    </row>
    <row r="3" s="10" customFormat="1" ht="60" customHeight="1" spans="1:20">
      <c r="A3" s="16" t="s">
        <v>5</v>
      </c>
      <c r="B3" s="16" t="s">
        <v>6</v>
      </c>
      <c r="C3" s="16" t="s">
        <v>7</v>
      </c>
      <c r="D3" s="16" t="s">
        <v>8</v>
      </c>
      <c r="E3" s="16" t="s">
        <v>9</v>
      </c>
      <c r="F3" s="16" t="s">
        <v>10</v>
      </c>
      <c r="G3" s="16" t="s">
        <v>11</v>
      </c>
      <c r="H3" s="16" t="s">
        <v>12</v>
      </c>
      <c r="I3" s="16" t="s">
        <v>13</v>
      </c>
      <c r="J3" s="16" t="s">
        <v>14</v>
      </c>
      <c r="K3" s="16" t="s">
        <v>15</v>
      </c>
      <c r="L3" s="16" t="s">
        <v>16</v>
      </c>
      <c r="M3" s="16" t="s">
        <v>17</v>
      </c>
      <c r="N3" s="16" t="s">
        <v>18</v>
      </c>
      <c r="O3" s="16" t="s">
        <v>19</v>
      </c>
      <c r="P3" s="16" t="s">
        <v>20</v>
      </c>
      <c r="Q3" s="16" t="s">
        <v>21</v>
      </c>
      <c r="R3" s="16" t="s">
        <v>22</v>
      </c>
      <c r="S3" s="16" t="s">
        <v>23</v>
      </c>
      <c r="T3" s="16" t="s">
        <v>24</v>
      </c>
    </row>
    <row r="4" s="9" customFormat="1" ht="21" customHeight="1" spans="1:20">
      <c r="A4" s="17" t="s">
        <v>14</v>
      </c>
      <c r="B4" s="17"/>
      <c r="C4" s="17"/>
      <c r="D4" s="17"/>
      <c r="E4" s="17"/>
      <c r="F4" s="17"/>
      <c r="G4" s="17"/>
      <c r="H4" s="17"/>
      <c r="I4" s="24">
        <f>SUM(I5:I15)</f>
        <v>0</v>
      </c>
      <c r="J4" s="24">
        <f>SUM(J5:J11)</f>
        <v>183744</v>
      </c>
      <c r="K4" s="24">
        <f>SUM(K5:K11)</f>
        <v>138929</v>
      </c>
      <c r="L4" s="24">
        <f t="shared" ref="L4:T4" si="0">SUM(L5:L15)</f>
        <v>44815</v>
      </c>
      <c r="M4" s="24">
        <f t="shared" si="0"/>
        <v>16010</v>
      </c>
      <c r="N4" s="24">
        <f t="shared" si="0"/>
        <v>24144</v>
      </c>
      <c r="O4" s="24">
        <f t="shared" si="0"/>
        <v>812</v>
      </c>
      <c r="P4" s="24">
        <f t="shared" si="0"/>
        <v>10</v>
      </c>
      <c r="Q4" s="24">
        <f t="shared" si="0"/>
        <v>200</v>
      </c>
      <c r="R4" s="24">
        <f t="shared" si="0"/>
        <v>47313</v>
      </c>
      <c r="S4" s="24">
        <f t="shared" si="0"/>
        <v>6610</v>
      </c>
      <c r="T4" s="19">
        <f t="shared" si="0"/>
        <v>43830</v>
      </c>
    </row>
    <row r="5" s="11" customFormat="1" ht="21" customHeight="1" spans="1:20">
      <c r="A5" s="18">
        <v>1</v>
      </c>
      <c r="B5" s="27" t="s">
        <v>25</v>
      </c>
      <c r="C5" s="19" t="s">
        <v>26</v>
      </c>
      <c r="D5" s="27" t="s">
        <v>27</v>
      </c>
      <c r="E5" s="19"/>
      <c r="F5" s="19" t="s">
        <v>28</v>
      </c>
      <c r="G5" s="19" t="s">
        <v>29</v>
      </c>
      <c r="H5" s="19" t="s">
        <v>30</v>
      </c>
      <c r="I5" s="19" t="s">
        <v>30</v>
      </c>
      <c r="J5" s="24">
        <f>K5+L5</f>
        <v>29121</v>
      </c>
      <c r="K5" s="24">
        <v>21513</v>
      </c>
      <c r="L5" s="24">
        <f>6819+789</f>
        <v>7608</v>
      </c>
      <c r="M5" s="24">
        <v>2770</v>
      </c>
      <c r="N5" s="24">
        <v>4049</v>
      </c>
      <c r="O5" s="19">
        <v>116</v>
      </c>
      <c r="P5" s="19"/>
      <c r="Q5" s="24"/>
      <c r="R5" s="24">
        <v>6618</v>
      </c>
      <c r="S5" s="24">
        <v>1040</v>
      </c>
      <c r="T5" s="25">
        <v>6920</v>
      </c>
    </row>
    <row r="6" s="11" customFormat="1" ht="21" customHeight="1" spans="1:20">
      <c r="A6" s="18">
        <v>2</v>
      </c>
      <c r="B6" s="27" t="s">
        <v>31</v>
      </c>
      <c r="C6" s="19" t="s">
        <v>32</v>
      </c>
      <c r="D6" s="27" t="s">
        <v>33</v>
      </c>
      <c r="E6" s="19"/>
      <c r="F6" s="19" t="s">
        <v>28</v>
      </c>
      <c r="G6" s="19" t="s">
        <v>29</v>
      </c>
      <c r="H6" s="19" t="s">
        <v>30</v>
      </c>
      <c r="I6" s="19" t="s">
        <v>30</v>
      </c>
      <c r="J6" s="24">
        <f t="shared" ref="J6:J11" si="1">K6+L6</f>
        <v>28529</v>
      </c>
      <c r="K6" s="24">
        <v>21237</v>
      </c>
      <c r="L6" s="24">
        <f>6543+749</f>
        <v>7292</v>
      </c>
      <c r="M6" s="24">
        <v>2770</v>
      </c>
      <c r="N6" s="24">
        <v>3773</v>
      </c>
      <c r="O6" s="19">
        <v>116</v>
      </c>
      <c r="P6" s="19"/>
      <c r="Q6" s="24"/>
      <c r="R6" s="24">
        <v>6618</v>
      </c>
      <c r="S6" s="24">
        <v>1040</v>
      </c>
      <c r="T6" s="25">
        <v>6920</v>
      </c>
    </row>
    <row r="7" s="11" customFormat="1" ht="21" customHeight="1" spans="1:20">
      <c r="A7" s="18">
        <v>3</v>
      </c>
      <c r="B7" s="27" t="s">
        <v>34</v>
      </c>
      <c r="C7" s="19" t="s">
        <v>35</v>
      </c>
      <c r="D7" s="27" t="s">
        <v>36</v>
      </c>
      <c r="E7" s="19"/>
      <c r="F7" s="19" t="s">
        <v>37</v>
      </c>
      <c r="G7" s="19" t="s">
        <v>38</v>
      </c>
      <c r="H7" s="19" t="s">
        <v>30</v>
      </c>
      <c r="I7" s="19" t="s">
        <v>30</v>
      </c>
      <c r="J7" s="24">
        <f t="shared" si="1"/>
        <v>22411</v>
      </c>
      <c r="K7" s="24">
        <v>16564</v>
      </c>
      <c r="L7" s="24">
        <f>5219+628</f>
        <v>5847</v>
      </c>
      <c r="M7" s="24">
        <v>1780</v>
      </c>
      <c r="N7" s="24">
        <v>3439</v>
      </c>
      <c r="O7" s="19">
        <v>116</v>
      </c>
      <c r="P7" s="19"/>
      <c r="Q7" s="24"/>
      <c r="R7" s="24">
        <v>5529</v>
      </c>
      <c r="S7" s="24">
        <v>650</v>
      </c>
      <c r="T7" s="25">
        <v>5050</v>
      </c>
    </row>
    <row r="8" s="11" customFormat="1" ht="21" customHeight="1" spans="1:20">
      <c r="A8" s="18">
        <v>4</v>
      </c>
      <c r="B8" s="27" t="s">
        <v>39</v>
      </c>
      <c r="C8" s="19" t="s">
        <v>40</v>
      </c>
      <c r="D8" s="27" t="s">
        <v>41</v>
      </c>
      <c r="E8" s="19"/>
      <c r="F8" s="19" t="s">
        <v>37</v>
      </c>
      <c r="G8" s="19" t="s">
        <v>38</v>
      </c>
      <c r="H8" s="19" t="s">
        <v>30</v>
      </c>
      <c r="I8" s="19" t="s">
        <v>30</v>
      </c>
      <c r="J8" s="24">
        <f t="shared" si="1"/>
        <v>20806</v>
      </c>
      <c r="K8" s="24">
        <v>15810</v>
      </c>
      <c r="L8" s="24">
        <f>4465+531</f>
        <v>4996</v>
      </c>
      <c r="M8" s="24">
        <v>1780</v>
      </c>
      <c r="N8" s="24">
        <v>2685</v>
      </c>
      <c r="O8" s="19">
        <v>116</v>
      </c>
      <c r="P8" s="19"/>
      <c r="Q8" s="24"/>
      <c r="R8" s="24">
        <v>5529</v>
      </c>
      <c r="S8" s="24">
        <v>650</v>
      </c>
      <c r="T8" s="25">
        <v>5050</v>
      </c>
    </row>
    <row r="9" s="11" customFormat="1" ht="21" customHeight="1" spans="1:20">
      <c r="A9" s="18">
        <v>5</v>
      </c>
      <c r="B9" s="27" t="s">
        <v>42</v>
      </c>
      <c r="C9" s="19" t="s">
        <v>43</v>
      </c>
      <c r="D9" s="27" t="s">
        <v>44</v>
      </c>
      <c r="E9" s="19"/>
      <c r="F9" s="19" t="s">
        <v>45</v>
      </c>
      <c r="G9" s="19" t="s">
        <v>46</v>
      </c>
      <c r="H9" s="19" t="s">
        <v>30</v>
      </c>
      <c r="I9" s="19" t="s">
        <v>30</v>
      </c>
      <c r="J9" s="24">
        <f t="shared" si="1"/>
        <v>17919</v>
      </c>
      <c r="K9" s="24">
        <v>14020</v>
      </c>
      <c r="L9" s="24">
        <f>3498+401</f>
        <v>3899</v>
      </c>
      <c r="M9" s="24">
        <v>1200</v>
      </c>
      <c r="N9" s="24">
        <v>2298</v>
      </c>
      <c r="O9" s="24">
        <v>116</v>
      </c>
      <c r="P9" s="19">
        <v>5</v>
      </c>
      <c r="Q9" s="24"/>
      <c r="R9" s="24">
        <v>5451</v>
      </c>
      <c r="S9" s="24">
        <v>500</v>
      </c>
      <c r="T9" s="25">
        <v>4450</v>
      </c>
    </row>
    <row r="10" s="11" customFormat="1" ht="21" customHeight="1" spans="1:20">
      <c r="A10" s="18">
        <v>6</v>
      </c>
      <c r="B10" s="27" t="s">
        <v>47</v>
      </c>
      <c r="C10" s="19" t="s">
        <v>48</v>
      </c>
      <c r="D10" s="27" t="s">
        <v>49</v>
      </c>
      <c r="E10" s="19"/>
      <c r="F10" s="19" t="s">
        <v>28</v>
      </c>
      <c r="G10" s="19" t="s">
        <v>29</v>
      </c>
      <c r="H10" s="19" t="s">
        <v>30</v>
      </c>
      <c r="I10" s="19" t="s">
        <v>30</v>
      </c>
      <c r="J10" s="24">
        <f t="shared" si="1"/>
        <v>31135</v>
      </c>
      <c r="K10" s="24">
        <v>23304</v>
      </c>
      <c r="L10" s="24">
        <f>7017+814</f>
        <v>7831</v>
      </c>
      <c r="M10" s="24">
        <v>2770</v>
      </c>
      <c r="N10" s="24">
        <v>4247</v>
      </c>
      <c r="O10" s="19">
        <v>116</v>
      </c>
      <c r="P10" s="19"/>
      <c r="Q10" s="24"/>
      <c r="R10" s="24">
        <v>7951</v>
      </c>
      <c r="S10" s="24">
        <v>1040</v>
      </c>
      <c r="T10" s="25">
        <v>7180</v>
      </c>
    </row>
    <row r="11" s="11" customFormat="1" ht="21" customHeight="1" spans="1:20">
      <c r="A11" s="18">
        <v>7</v>
      </c>
      <c r="B11" s="27" t="s">
        <v>50</v>
      </c>
      <c r="C11" s="19" t="s">
        <v>51</v>
      </c>
      <c r="D11" s="27" t="s">
        <v>52</v>
      </c>
      <c r="E11" s="19"/>
      <c r="F11" s="19" t="s">
        <v>28</v>
      </c>
      <c r="G11" s="19" t="s">
        <v>53</v>
      </c>
      <c r="H11" s="19" t="s">
        <v>30</v>
      </c>
      <c r="I11" s="19" t="s">
        <v>30</v>
      </c>
      <c r="J11" s="24">
        <f t="shared" si="1"/>
        <v>33823</v>
      </c>
      <c r="K11" s="24">
        <v>26481</v>
      </c>
      <c r="L11" s="24">
        <f>6593+749</f>
        <v>7342</v>
      </c>
      <c r="M11" s="24">
        <v>2940</v>
      </c>
      <c r="N11" s="24">
        <v>3653</v>
      </c>
      <c r="O11" s="24">
        <v>116</v>
      </c>
      <c r="P11" s="24">
        <v>5</v>
      </c>
      <c r="Q11" s="24">
        <v>200</v>
      </c>
      <c r="R11" s="24">
        <v>9617</v>
      </c>
      <c r="S11" s="24">
        <v>1690</v>
      </c>
      <c r="T11" s="25">
        <v>8260</v>
      </c>
    </row>
    <row r="12" s="11" customFormat="1" ht="20" customHeight="1" spans="1:20">
      <c r="A12" s="15" t="s">
        <v>54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</row>
    <row r="13" s="11" customFormat="1" ht="20" customHeight="1" spans="1:20">
      <c r="A13" s="15" t="s">
        <v>55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</row>
    <row r="14" customFormat="1" ht="20" customHeight="1" spans="1:21">
      <c r="A14" s="20" t="s">
        <v>56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6"/>
    </row>
    <row r="15" s="11" customFormat="1" ht="27" customHeight="1" spans="1:17">
      <c r="A15" s="21" t="s">
        <v>57</v>
      </c>
      <c r="G15" s="11" t="s">
        <v>58</v>
      </c>
      <c r="L15" s="11" t="s">
        <v>59</v>
      </c>
      <c r="Q15" s="11" t="s">
        <v>60</v>
      </c>
    </row>
  </sheetData>
  <mergeCells count="9">
    <mergeCell ref="A1:S1"/>
    <mergeCell ref="A2:F2"/>
    <mergeCell ref="G2:H2"/>
    <mergeCell ref="J2:M2"/>
    <mergeCell ref="P2:S2"/>
    <mergeCell ref="A4:H4"/>
    <mergeCell ref="A12:T12"/>
    <mergeCell ref="A13:T13"/>
    <mergeCell ref="A14:T14"/>
  </mergeCells>
  <printOptions horizontalCentered="1"/>
  <pageMargins left="0.550694444444444" right="0.432638888888889" top="0.629861111111111" bottom="1" header="0.590277777777778" footer="0.5"/>
  <pageSetup paperSize="9" orientation="landscape"/>
  <headerFooter>
    <oddFooter>&amp;C第&amp;P页/共&amp;N页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workbookViewId="0">
      <selection activeCell="A1" sqref="$A1:$XFD1048576"/>
    </sheetView>
  </sheetViews>
  <sheetFormatPr defaultColWidth="26.6666666666667" defaultRowHeight="14.4"/>
  <cols>
    <col min="1" max="2" width="8.33333333333333" customWidth="1"/>
    <col min="3" max="3" width="36.8888888888889" customWidth="1"/>
    <col min="4" max="4" width="8.33333333333333" style="1" customWidth="1"/>
    <col min="5" max="6" width="13.4444444444444" customWidth="1"/>
    <col min="7" max="7" width="6.22222222222222" customWidth="1"/>
    <col min="8" max="8" width="5.66666666666667" customWidth="1"/>
    <col min="9" max="9" width="6.88888888888889" customWidth="1"/>
    <col min="10" max="10" width="6.11111111111111" customWidth="1"/>
    <col min="11" max="11" width="12.1111111111111" customWidth="1"/>
    <col min="12" max="13" width="8.66666666666667" customWidth="1"/>
    <col min="14" max="16384" width="26.6666666666667" customWidth="1"/>
  </cols>
  <sheetData>
    <row r="1" ht="36" customHeight="1" spans="1:1">
      <c r="A1" s="2" t="s">
        <v>61</v>
      </c>
    </row>
    <row r="2" customFormat="1" ht="44" customHeight="1" spans="1:13">
      <c r="A2" s="28" t="s">
        <v>6</v>
      </c>
      <c r="B2" s="3" t="s">
        <v>7</v>
      </c>
      <c r="C2" s="3" t="s">
        <v>62</v>
      </c>
      <c r="D2" s="3" t="s">
        <v>63</v>
      </c>
      <c r="E2" s="3" t="s">
        <v>10</v>
      </c>
      <c r="F2" s="3" t="s">
        <v>11</v>
      </c>
      <c r="G2" s="28" t="s">
        <v>64</v>
      </c>
      <c r="H2" s="3" t="s">
        <v>14</v>
      </c>
      <c r="I2" s="3" t="s">
        <v>65</v>
      </c>
      <c r="J2" s="3" t="s">
        <v>66</v>
      </c>
      <c r="K2" s="3" t="s">
        <v>16</v>
      </c>
      <c r="L2" s="3" t="s">
        <v>17</v>
      </c>
      <c r="M2" s="3" t="s">
        <v>18</v>
      </c>
    </row>
    <row r="3" customFormat="1" ht="22" customHeight="1" spans="1:13">
      <c r="A3" s="29" t="s">
        <v>25</v>
      </c>
      <c r="B3" s="4" t="s">
        <v>26</v>
      </c>
      <c r="C3" s="5" t="s">
        <v>67</v>
      </c>
      <c r="D3" s="4" t="s">
        <v>68</v>
      </c>
      <c r="E3" s="4" t="s">
        <v>28</v>
      </c>
      <c r="F3" s="4" t="s">
        <v>29</v>
      </c>
      <c r="G3" s="29" t="s">
        <v>69</v>
      </c>
      <c r="H3" s="6">
        <v>789</v>
      </c>
      <c r="I3" s="4"/>
      <c r="J3" s="4"/>
      <c r="K3" s="6">
        <v>789</v>
      </c>
      <c r="L3" s="4"/>
      <c r="M3" s="4"/>
    </row>
    <row r="4" customFormat="1" ht="22" customHeight="1" spans="1:13">
      <c r="A4" s="29" t="s">
        <v>31</v>
      </c>
      <c r="B4" s="4" t="s">
        <v>32</v>
      </c>
      <c r="C4" s="5" t="s">
        <v>67</v>
      </c>
      <c r="D4" s="4" t="s">
        <v>68</v>
      </c>
      <c r="E4" s="4" t="s">
        <v>28</v>
      </c>
      <c r="F4" s="4" t="s">
        <v>29</v>
      </c>
      <c r="G4" s="29" t="s">
        <v>69</v>
      </c>
      <c r="H4" s="6">
        <v>749</v>
      </c>
      <c r="I4" s="4"/>
      <c r="J4" s="4"/>
      <c r="K4" s="6">
        <v>749</v>
      </c>
      <c r="L4" s="4"/>
      <c r="M4" s="4"/>
    </row>
    <row r="5" customFormat="1" ht="22" customHeight="1" spans="1:13">
      <c r="A5" s="29" t="s">
        <v>34</v>
      </c>
      <c r="B5" s="4" t="s">
        <v>35</v>
      </c>
      <c r="C5" s="5" t="s">
        <v>67</v>
      </c>
      <c r="D5" s="4" t="s">
        <v>68</v>
      </c>
      <c r="E5" s="4" t="s">
        <v>37</v>
      </c>
      <c r="F5" s="4" t="s">
        <v>38</v>
      </c>
      <c r="G5" s="29" t="s">
        <v>69</v>
      </c>
      <c r="H5" s="6">
        <v>628</v>
      </c>
      <c r="I5" s="4"/>
      <c r="J5" s="4"/>
      <c r="K5" s="6">
        <v>628</v>
      </c>
      <c r="L5" s="4"/>
      <c r="M5" s="4"/>
    </row>
    <row r="6" customFormat="1" ht="22" customHeight="1" spans="1:13">
      <c r="A6" s="29" t="s">
        <v>39</v>
      </c>
      <c r="B6" s="4" t="s">
        <v>40</v>
      </c>
      <c r="C6" s="5" t="s">
        <v>67</v>
      </c>
      <c r="D6" s="4" t="s">
        <v>68</v>
      </c>
      <c r="E6" s="4" t="s">
        <v>37</v>
      </c>
      <c r="F6" s="4" t="s">
        <v>38</v>
      </c>
      <c r="G6" s="29" t="s">
        <v>69</v>
      </c>
      <c r="H6" s="6">
        <v>531</v>
      </c>
      <c r="I6" s="4"/>
      <c r="J6" s="4"/>
      <c r="K6" s="6">
        <v>531</v>
      </c>
      <c r="L6" s="4"/>
      <c r="M6" s="4"/>
    </row>
    <row r="7" customFormat="1" ht="22" customHeight="1" spans="1:13">
      <c r="A7" s="29" t="s">
        <v>42</v>
      </c>
      <c r="B7" s="4" t="s">
        <v>43</v>
      </c>
      <c r="C7" s="5" t="s">
        <v>67</v>
      </c>
      <c r="D7" s="4" t="s">
        <v>68</v>
      </c>
      <c r="E7" s="4" t="s">
        <v>45</v>
      </c>
      <c r="F7" s="4" t="s">
        <v>46</v>
      </c>
      <c r="G7" s="29" t="s">
        <v>69</v>
      </c>
      <c r="H7" s="6">
        <v>401</v>
      </c>
      <c r="I7" s="4"/>
      <c r="J7" s="4"/>
      <c r="K7" s="6">
        <v>401</v>
      </c>
      <c r="L7" s="4"/>
      <c r="M7" s="4"/>
    </row>
    <row r="8" customFormat="1" ht="22" customHeight="1" spans="1:13">
      <c r="A8" s="29" t="s">
        <v>47</v>
      </c>
      <c r="B8" s="4" t="s">
        <v>48</v>
      </c>
      <c r="C8" s="5" t="s">
        <v>67</v>
      </c>
      <c r="D8" s="4" t="s">
        <v>68</v>
      </c>
      <c r="E8" s="4" t="s">
        <v>28</v>
      </c>
      <c r="F8" s="4" t="s">
        <v>29</v>
      </c>
      <c r="G8" s="29" t="s">
        <v>69</v>
      </c>
      <c r="H8" s="6">
        <v>814</v>
      </c>
      <c r="I8" s="4"/>
      <c r="J8" s="4"/>
      <c r="K8" s="6">
        <v>814</v>
      </c>
      <c r="L8" s="4"/>
      <c r="M8" s="4"/>
    </row>
    <row r="9" customFormat="1" ht="22" customHeight="1" spans="1:13">
      <c r="A9" s="29" t="s">
        <v>50</v>
      </c>
      <c r="B9" s="4" t="s">
        <v>51</v>
      </c>
      <c r="C9" s="5" t="s">
        <v>67</v>
      </c>
      <c r="D9" s="4" t="s">
        <v>68</v>
      </c>
      <c r="E9" s="4" t="s">
        <v>28</v>
      </c>
      <c r="F9" s="4" t="s">
        <v>53</v>
      </c>
      <c r="G9" s="29" t="s">
        <v>69</v>
      </c>
      <c r="H9" s="6">
        <v>749</v>
      </c>
      <c r="I9" s="4"/>
      <c r="J9" s="4"/>
      <c r="K9" s="6">
        <v>749</v>
      </c>
      <c r="L9" s="4"/>
      <c r="M9" s="4"/>
    </row>
    <row r="10" customFormat="1" ht="22" customHeight="1" spans="1:13">
      <c r="A10" s="29" t="s">
        <v>25</v>
      </c>
      <c r="B10" s="4" t="s">
        <v>26</v>
      </c>
      <c r="C10" s="5" t="s">
        <v>70</v>
      </c>
      <c r="D10" s="4" t="s">
        <v>68</v>
      </c>
      <c r="E10" s="4" t="s">
        <v>28</v>
      </c>
      <c r="F10" s="4" t="s">
        <v>29</v>
      </c>
      <c r="G10" s="29" t="s">
        <v>69</v>
      </c>
      <c r="H10" s="6">
        <v>6819</v>
      </c>
      <c r="I10" s="4"/>
      <c r="J10" s="4"/>
      <c r="K10" s="6">
        <v>6819</v>
      </c>
      <c r="L10" s="4"/>
      <c r="M10" s="4"/>
    </row>
    <row r="11" customFormat="1" ht="22" customHeight="1" spans="1:13">
      <c r="A11" s="29" t="s">
        <v>31</v>
      </c>
      <c r="B11" s="4" t="s">
        <v>32</v>
      </c>
      <c r="C11" s="5" t="s">
        <v>70</v>
      </c>
      <c r="D11" s="4" t="s">
        <v>68</v>
      </c>
      <c r="E11" s="4" t="s">
        <v>28</v>
      </c>
      <c r="F11" s="4" t="s">
        <v>29</v>
      </c>
      <c r="G11" s="29" t="s">
        <v>69</v>
      </c>
      <c r="H11" s="6">
        <v>6543</v>
      </c>
      <c r="I11" s="4"/>
      <c r="J11" s="4"/>
      <c r="K11" s="6">
        <v>6543</v>
      </c>
      <c r="L11" s="4"/>
      <c r="M11" s="4"/>
    </row>
    <row r="12" customFormat="1" ht="22" customHeight="1" spans="1:13">
      <c r="A12" s="29" t="s">
        <v>34</v>
      </c>
      <c r="B12" s="4" t="s">
        <v>35</v>
      </c>
      <c r="C12" s="5" t="s">
        <v>70</v>
      </c>
      <c r="D12" s="4" t="s">
        <v>68</v>
      </c>
      <c r="E12" s="4" t="s">
        <v>37</v>
      </c>
      <c r="F12" s="4" t="s">
        <v>38</v>
      </c>
      <c r="G12" s="29" t="s">
        <v>69</v>
      </c>
      <c r="H12" s="6">
        <v>5219</v>
      </c>
      <c r="I12" s="4"/>
      <c r="J12" s="4"/>
      <c r="K12" s="6">
        <v>5219</v>
      </c>
      <c r="L12" s="4"/>
      <c r="M12" s="4"/>
    </row>
    <row r="13" customFormat="1" ht="22" customHeight="1" spans="1:13">
      <c r="A13" s="29" t="s">
        <v>39</v>
      </c>
      <c r="B13" s="4" t="s">
        <v>40</v>
      </c>
      <c r="C13" s="5" t="s">
        <v>70</v>
      </c>
      <c r="D13" s="4" t="s">
        <v>68</v>
      </c>
      <c r="E13" s="4" t="s">
        <v>37</v>
      </c>
      <c r="F13" s="4" t="s">
        <v>38</v>
      </c>
      <c r="G13" s="29" t="s">
        <v>69</v>
      </c>
      <c r="H13" s="6">
        <v>4465</v>
      </c>
      <c r="I13" s="4"/>
      <c r="J13" s="4"/>
      <c r="K13" s="6">
        <v>4465</v>
      </c>
      <c r="L13" s="4"/>
      <c r="M13" s="4"/>
    </row>
    <row r="14" customFormat="1" ht="22" customHeight="1" spans="1:13">
      <c r="A14" s="29" t="s">
        <v>42</v>
      </c>
      <c r="B14" s="4" t="s">
        <v>43</v>
      </c>
      <c r="C14" s="5" t="s">
        <v>70</v>
      </c>
      <c r="D14" s="4" t="s">
        <v>68</v>
      </c>
      <c r="E14" s="4" t="s">
        <v>45</v>
      </c>
      <c r="F14" s="4" t="s">
        <v>46</v>
      </c>
      <c r="G14" s="29" t="s">
        <v>69</v>
      </c>
      <c r="H14" s="6">
        <v>3498</v>
      </c>
      <c r="I14" s="4"/>
      <c r="J14" s="4"/>
      <c r="K14" s="6">
        <v>3498</v>
      </c>
      <c r="L14" s="4"/>
      <c r="M14" s="4"/>
    </row>
    <row r="15" customFormat="1" ht="22" customHeight="1" spans="1:13">
      <c r="A15" s="29" t="s">
        <v>47</v>
      </c>
      <c r="B15" s="4" t="s">
        <v>48</v>
      </c>
      <c r="C15" s="5" t="s">
        <v>70</v>
      </c>
      <c r="D15" s="4" t="s">
        <v>68</v>
      </c>
      <c r="E15" s="4" t="s">
        <v>28</v>
      </c>
      <c r="F15" s="4" t="s">
        <v>29</v>
      </c>
      <c r="G15" s="29" t="s">
        <v>69</v>
      </c>
      <c r="H15" s="6">
        <v>7017</v>
      </c>
      <c r="I15" s="4"/>
      <c r="J15" s="4"/>
      <c r="K15" s="6">
        <v>7017</v>
      </c>
      <c r="L15" s="4"/>
      <c r="M15" s="4"/>
    </row>
    <row r="16" customFormat="1" ht="22" customHeight="1" spans="1:13">
      <c r="A16" s="29" t="s">
        <v>50</v>
      </c>
      <c r="B16" s="4" t="s">
        <v>51</v>
      </c>
      <c r="C16" s="5" t="s">
        <v>70</v>
      </c>
      <c r="D16" s="4" t="s">
        <v>68</v>
      </c>
      <c r="E16" s="4" t="s">
        <v>28</v>
      </c>
      <c r="F16" s="4" t="s">
        <v>53</v>
      </c>
      <c r="G16" s="29" t="s">
        <v>69</v>
      </c>
      <c r="H16" s="6">
        <v>6593</v>
      </c>
      <c r="I16" s="4"/>
      <c r="J16" s="4"/>
      <c r="K16" s="6">
        <v>6593</v>
      </c>
      <c r="L16" s="4"/>
      <c r="M16" s="4"/>
    </row>
    <row r="17" customFormat="1" ht="154" customHeight="1" spans="1:13">
      <c r="A17" s="5" t="s">
        <v>71</v>
      </c>
      <c r="B17" s="4"/>
      <c r="C17" s="4"/>
      <c r="D17" s="4"/>
      <c r="E17" s="5" t="s">
        <v>72</v>
      </c>
      <c r="F17" s="7"/>
      <c r="G17" s="7"/>
      <c r="H17" s="7"/>
      <c r="I17" s="5" t="s">
        <v>73</v>
      </c>
      <c r="J17" s="7"/>
      <c r="K17" s="7"/>
      <c r="L17" s="7"/>
      <c r="M17" s="7"/>
    </row>
  </sheetData>
  <mergeCells count="4">
    <mergeCell ref="A1:M1"/>
    <mergeCell ref="A17:D17"/>
    <mergeCell ref="E17:H17"/>
    <mergeCell ref="I17:M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变动花名册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2025-01-15T06:33:00Z</dcterms:created>
  <dcterms:modified xsi:type="dcterms:W3CDTF">2025-01-16T07:22:26Z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2052-11.8.2.8593</vt:lpwstr>
  </property>
</Properties>
</file>