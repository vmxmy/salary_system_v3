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6" windowHeight="8940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<sst xmlns="http://schemas.openxmlformats.org/spreadsheetml/2006/main" count="133" uniqueCount="85">
  <si>
    <t>2025年03月工资基金 事业工资发放表</t>
  </si>
  <si>
    <t>单位名称：高新区财政国资局(事业人员）</t>
  </si>
  <si>
    <t>单位：元</t>
  </si>
  <si>
    <t>经办人签字:</t>
  </si>
  <si>
    <t>制表时间：2025年2月21日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</si>
  <si>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</si>
  <si>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</si>
  <si>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</si>
  <si>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</si>
  <si>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</si>
  <si>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</si>
  <si>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</si>
  <si>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</si>
  <si>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</si>
  <si>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</si>
  <si>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</si>
  <si>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</si>
  <si>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基础绩效补扣发</t>
  </si>
  <si>
    <t>奖励绩效补扣发</t>
  </si>
  <si>
    <t>岗位工资</t>
  </si>
  <si>
    <t>薪级工资</t>
  </si>
  <si>
    <t>见习试用期工资</t>
  </si>
  <si>
    <t>93年工改保留补贴</t>
  </si>
  <si>
    <t>独生子女父母奖励金</t>
  </si>
  <si>
    <t>月基础绩效</t>
  </si>
  <si>
    <t>基础绩效奖</t>
  </si>
  <si>
    <t>月奖励绩效</t>
  </si>
  <si>
    <t>00002</t>
  </si>
  <si>
    <t>刘嘉</t>
  </si>
  <si>
    <t>51010419790927236X</t>
  </si>
  <si>
    <t>事业技术工人</t>
  </si>
  <si>
    <t>技术工二级</t>
  </si>
  <si>
    <t>是</t>
  </si>
  <si>
    <t>00003</t>
  </si>
  <si>
    <t>张磊</t>
  </si>
  <si>
    <t>511111198901171715</t>
  </si>
  <si>
    <t>管理人员</t>
  </si>
  <si>
    <t>六级管理岗位</t>
  </si>
  <si>
    <t>00010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</si>
  <si>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</si>
  <si>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</si>
  <si>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</si>
  <si>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</si>
  <si>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</si>
  <si>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</si>
  <si>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</si>
  <si>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00017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</si>
  <si>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</si>
  <si>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</si>
  <si>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</si>
  <si>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</si>
  <si>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</si>
  <si>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</si>
  <si>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</si>
  <si>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</si>
  <si>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</si>
  <si>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00022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</si>
  <si>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</si>
  <si>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</si>
  <si>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</si>
  <si>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</si>
  <si>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</si>
  <si>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</si>
  <si>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</si>
  <si>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</si>
  <si>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</si>
  <si>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00025</t>
  </si>
  <si>
    <t>何万达</t>
  </si>
  <si>
    <t>513721199708058376</t>
  </si>
  <si>
    <t>00026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</si>
  <si>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</si>
  <si>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</si>
  <si>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</si>
  <si>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</si>
  <si>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</si>
  <si>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</si>
  <si>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</si>
  <si>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</si>
  <si>
    <t>备注：1、2025年1月机改，3月进行人员工资基金转接。</t>
  </si>
  <si>
    <t xml:space="preserve">     2、本月新增李子贤、殷凌霄、何万达、沙砾、张秋子、申龙，3月起薪。</t>
  </si>
  <si>
    <t xml:space="preserve">     3、刘嘉2024年11月聘任为二级工勤技能岗，12月起薪，补发2024年12-2025年2月晋升工资。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</si>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</sst>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0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vertical="center" shrinkToFi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shrinkToFit="1"/>
    </xf>
    <xf numFmtId="0" fontId="3" fillId="0" borderId="0" xfId="0" applyFont="1" applyFill="1" applyAlignment="1">
      <alignment vertical="center"/>
    </xf>
    <xf numFmtId="0" fontId="0" fillId="0" borderId="1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0" borderId="1" xfId="0" applyFont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abSelected="1" topLeftCell="A7" workbookViewId="0">
      <selection activeCell="P22" sqref="P22"/>
    </sheetView>
  </sheetViews>
  <sheetFormatPr defaultColWidth="8.88888888888889" defaultRowHeight="14.4"/>
  <cols>
    <col min="1" max="1" width="3.55555555555556" style="4" customWidth="1"/>
    <col min="2" max="2" width="5.77777777777778" hidden="1" customWidth="1"/>
    <col min="3" max="3" width="8.55555555555556" customWidth="1"/>
    <col min="4" max="4" width="15.7777777777778" customWidth="1"/>
    <col min="5" max="5" width="5.77777777777778" hidden="1" customWidth="1"/>
    <col min="6" max="6" width="10.1111111111111" customWidth="1"/>
    <col min="7" max="7" width="11.1111111111111" customWidth="1"/>
    <col min="8" max="9" width="5.77777777777778" hidden="1" customWidth="1"/>
    <col min="10" max="10" width="7.66666666666667" customWidth="1"/>
    <col min="11" max="11" width="7.22222222222222" customWidth="1"/>
    <col min="12" max="12" width="5.55555555555556" customWidth="1"/>
    <col min="13" max="13" width="6.22222222222222" customWidth="1"/>
    <col min="14" max="14" width="6.55555555555556" customWidth="1"/>
    <col min="15" max="16" width="7.11111111111111" customWidth="1"/>
    <col min="17" max="17" width="6.33333333333333" customWidth="1"/>
    <col min="18" max="18" width="7.11111111111111" customWidth="1"/>
    <col min="19" max="19" width="6.33333333333333" customWidth="1"/>
    <col min="20" max="22" width="7.11111111111111" customWidth="1"/>
  </cols>
  <sheetData>
    <row r="1" ht="30" customHeight="1" spans="1:2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="1" customFormat="1" ht="27" customHeight="1" spans="1:22">
      <c r="A2" s="6" t="s">
        <v>1</v>
      </c>
      <c r="G2" s="1" t="s">
        <v>2</v>
      </c>
      <c r="J2" s="1" t="s">
        <v>3</v>
      </c>
      <c r="R2" s="15" t="s">
        <v>4</v>
      </c>
      <c r="S2" s="15"/>
      <c r="T2" s="15"/>
      <c r="U2" s="15"/>
      <c r="V2" s="15"/>
    </row>
    <row r="3" s="2" customFormat="1" ht="60" customHeight="1" spans="1:22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</row>
    <row r="4" s="1" customFormat="1" ht="18" customHeight="1" spans="1:22">
      <c r="A4" s="8" t="s">
        <v>14</v>
      </c>
      <c r="B4" s="8"/>
      <c r="C4" s="8"/>
      <c r="D4" s="8"/>
      <c r="E4" s="8"/>
      <c r="F4" s="8"/>
      <c r="G4" s="8"/>
      <c r="H4" s="8"/>
      <c r="I4" s="14">
        <f>SUM(I5:I20)</f>
        <v>0</v>
      </c>
      <c r="J4" s="14">
        <f>SUM(J5:J20)</f>
        <v>204746</v>
      </c>
      <c r="K4" s="14">
        <f>SUM(K5:K20)</f>
        <v>202952</v>
      </c>
      <c r="L4" s="14">
        <f>SUM(L5:L20)</f>
        <v>960</v>
      </c>
      <c r="M4" s="14">
        <f>SUM(M5:M20)</f>
        <v>864</v>
      </c>
      <c r="N4" s="14">
        <f>SUM(N5:N20)</f>
        <v>-30</v>
      </c>
      <c r="O4" s="14">
        <f>SUM(O5:O20)</f>
        <v>33490</v>
      </c>
      <c r="P4" s="14">
        <f>SUM(P5:P20)</f>
        <v>17070</v>
      </c>
      <c r="Q4" s="14">
        <f>SUM(Q5:Q20)</f>
        <v>2650</v>
      </c>
      <c r="R4" s="14">
        <f>SUM(R5:R20)</f>
        <v>1624</v>
      </c>
      <c r="S4" s="14">
        <f>SUM(S5:S20)</f>
        <v>10</v>
      </c>
      <c r="T4" s="14">
        <f>SUM(T5:T20)</f>
        <v>43623</v>
      </c>
      <c r="U4" s="14">
        <f>SUM(U5:U20)</f>
        <v>71660</v>
      </c>
      <c r="V4" s="14">
        <f>SUM(V5:V20)</f>
        <v>32825</v>
      </c>
    </row>
    <row r="5" ht="18" customHeight="1" spans="1:22">
      <c r="A5" s="9">
        <v>1</v>
      </c>
      <c r="B5" s="16" t="s">
        <v>27</v>
      </c>
      <c r="C5" s="10" t="s">
        <v>28</v>
      </c>
      <c r="D5" s="16" t="s">
        <v>29</v>
      </c>
      <c r="E5" s="10"/>
      <c r="F5" s="10" t="s">
        <v>30</v>
      </c>
      <c r="G5" s="10" t="s">
        <v>31</v>
      </c>
      <c r="H5" s="10" t="s">
        <v>32</v>
      </c>
      <c r="I5" s="10" t="s">
        <v>32</v>
      </c>
      <c r="J5" s="14">
        <v>15737</v>
      </c>
      <c r="K5" s="14">
        <v>13943</v>
      </c>
      <c r="L5" s="14">
        <v>960</v>
      </c>
      <c r="M5" s="14">
        <v>864</v>
      </c>
      <c r="N5" s="14">
        <v>-30</v>
      </c>
      <c r="O5" s="14">
        <v>2260</v>
      </c>
      <c r="P5" s="14">
        <v>1383</v>
      </c>
      <c r="Q5" s="10"/>
      <c r="R5" s="14">
        <v>116</v>
      </c>
      <c r="S5" s="14">
        <v>5</v>
      </c>
      <c r="T5" s="14">
        <v>3152</v>
      </c>
      <c r="U5" s="14">
        <v>4700</v>
      </c>
      <c r="V5" s="14">
        <v>2327</v>
      </c>
    </row>
    <row r="6" ht="18" customHeight="1" spans="1:22">
      <c r="A6" s="9">
        <v>2</v>
      </c>
      <c r="B6" s="16" t="s">
        <v>33</v>
      </c>
      <c r="C6" s="10" t="s">
        <v>34</v>
      </c>
      <c r="D6" s="16" t="s">
        <v>35</v>
      </c>
      <c r="E6" s="10"/>
      <c r="F6" s="10" t="s">
        <v>36</v>
      </c>
      <c r="G6" s="10" t="s">
        <v>37</v>
      </c>
      <c r="H6" s="10" t="s">
        <v>32</v>
      </c>
      <c r="I6" s="10" t="s">
        <v>32</v>
      </c>
      <c r="J6" s="14">
        <v>16423</v>
      </c>
      <c r="K6" s="14">
        <v>16423</v>
      </c>
      <c r="L6" s="10"/>
      <c r="M6" s="10"/>
      <c r="N6" s="10"/>
      <c r="O6" s="14">
        <v>2880</v>
      </c>
      <c r="P6" s="14">
        <v>1603</v>
      </c>
      <c r="Q6" s="10"/>
      <c r="R6" s="14">
        <v>116</v>
      </c>
      <c r="S6" s="10"/>
      <c r="T6" s="14">
        <v>3309</v>
      </c>
      <c r="U6" s="14">
        <v>5960</v>
      </c>
      <c r="V6" s="14">
        <v>2555</v>
      </c>
    </row>
    <row r="7" ht="18" customHeight="1" spans="1:22">
      <c r="A7" s="9">
        <v>3</v>
      </c>
      <c r="B7" s="16" t="s">
        <v>38</v>
      </c>
      <c r="C7" s="10" t="s">
        <v>39</v>
      </c>
      <c r="D7" s="16" t="s">
        <v>40</v>
      </c>
      <c r="E7" s="10"/>
      <c r="F7" s="10" t="s">
        <v>36</v>
      </c>
      <c r="G7" s="10" t="s">
        <v>41</v>
      </c>
      <c r="H7" s="10" t="s">
        <v>32</v>
      </c>
      <c r="I7" s="10" t="s">
        <v>32</v>
      </c>
      <c r="J7" s="14">
        <v>14557</v>
      </c>
      <c r="K7" s="14">
        <v>14557</v>
      </c>
      <c r="L7" s="10"/>
      <c r="M7" s="10"/>
      <c r="N7" s="10"/>
      <c r="O7" s="14">
        <v>2520</v>
      </c>
      <c r="P7" s="14">
        <v>1427</v>
      </c>
      <c r="Q7" s="10"/>
      <c r="R7" s="14">
        <v>116</v>
      </c>
      <c r="S7" s="10"/>
      <c r="T7" s="14">
        <v>3124</v>
      </c>
      <c r="U7" s="14">
        <v>5050</v>
      </c>
      <c r="V7" s="14">
        <v>2320</v>
      </c>
    </row>
    <row r="8" ht="18" customHeight="1" spans="1:22">
      <c r="A8" s="9">
        <v>4</v>
      </c>
      <c r="B8" s="16" t="s">
        <v>42</v>
      </c>
      <c r="C8" s="10" t="s">
        <v>43</v>
      </c>
      <c r="D8" s="16" t="s">
        <v>44</v>
      </c>
      <c r="E8" s="10"/>
      <c r="F8" s="10" t="s">
        <v>36</v>
      </c>
      <c r="G8" s="10" t="s">
        <v>45</v>
      </c>
      <c r="H8" s="10" t="s">
        <v>32</v>
      </c>
      <c r="I8" s="10" t="s">
        <v>32</v>
      </c>
      <c r="J8" s="14">
        <v>19489</v>
      </c>
      <c r="K8" s="14">
        <v>19489</v>
      </c>
      <c r="L8" s="10"/>
      <c r="M8" s="10"/>
      <c r="N8" s="10"/>
      <c r="O8" s="14">
        <v>3455</v>
      </c>
      <c r="P8" s="14">
        <v>2375</v>
      </c>
      <c r="Q8" s="10"/>
      <c r="R8" s="14">
        <v>116</v>
      </c>
      <c r="S8" s="14">
        <v>5</v>
      </c>
      <c r="T8" s="14">
        <v>3742</v>
      </c>
      <c r="U8" s="14">
        <v>6920</v>
      </c>
      <c r="V8" s="14">
        <v>2876</v>
      </c>
    </row>
    <row r="9" ht="18" customHeight="1" spans="1:22">
      <c r="A9" s="9">
        <v>5</v>
      </c>
      <c r="B9" s="16" t="s">
        <v>46</v>
      </c>
      <c r="C9" s="10" t="s">
        <v>47</v>
      </c>
      <c r="D9" s="16" t="s">
        <v>48</v>
      </c>
      <c r="E9" s="10"/>
      <c r="F9" s="10" t="s">
        <v>36</v>
      </c>
      <c r="G9" s="10" t="s">
        <v>49</v>
      </c>
      <c r="H9" s="10" t="s">
        <v>32</v>
      </c>
      <c r="I9" s="10" t="s">
        <v>32</v>
      </c>
      <c r="J9" s="14">
        <v>13131</v>
      </c>
      <c r="K9" s="14">
        <v>13131</v>
      </c>
      <c r="L9" s="10"/>
      <c r="M9" s="10"/>
      <c r="N9" s="10"/>
      <c r="O9" s="14">
        <v>2200</v>
      </c>
      <c r="P9" s="14">
        <v>934</v>
      </c>
      <c r="Q9" s="10"/>
      <c r="R9" s="14">
        <v>116</v>
      </c>
      <c r="S9" s="10"/>
      <c r="T9" s="14">
        <v>3099</v>
      </c>
      <c r="U9" s="14">
        <v>4450</v>
      </c>
      <c r="V9" s="14">
        <v>2332</v>
      </c>
    </row>
    <row r="10" ht="18" customHeight="1" spans="1:22">
      <c r="A10" s="9">
        <v>6</v>
      </c>
      <c r="B10" s="16" t="s">
        <v>50</v>
      </c>
      <c r="C10" s="10" t="s">
        <v>51</v>
      </c>
      <c r="D10" s="16" t="s">
        <v>52</v>
      </c>
      <c r="E10" s="10"/>
      <c r="F10" s="10" t="s">
        <v>36</v>
      </c>
      <c r="G10" s="10" t="s">
        <v>49</v>
      </c>
      <c r="H10" s="10" t="s">
        <v>32</v>
      </c>
      <c r="I10" s="10" t="s">
        <v>32</v>
      </c>
      <c r="J10" s="14">
        <v>13010</v>
      </c>
      <c r="K10" s="14">
        <v>13010</v>
      </c>
      <c r="L10" s="10"/>
      <c r="M10" s="10"/>
      <c r="N10" s="10"/>
      <c r="O10" s="14">
        <v>2200</v>
      </c>
      <c r="P10" s="14">
        <v>863</v>
      </c>
      <c r="Q10" s="10"/>
      <c r="R10" s="14">
        <v>116</v>
      </c>
      <c r="S10" s="10"/>
      <c r="T10" s="14">
        <v>3099</v>
      </c>
      <c r="U10" s="14">
        <v>4400</v>
      </c>
      <c r="V10" s="14">
        <v>2332</v>
      </c>
    </row>
    <row r="11" ht="18" customHeight="1" spans="1:22">
      <c r="A11" s="9">
        <v>7</v>
      </c>
      <c r="B11" s="16" t="s">
        <v>53</v>
      </c>
      <c r="C11" s="10" t="s">
        <v>54</v>
      </c>
      <c r="D11" s="16" t="s">
        <v>55</v>
      </c>
      <c r="E11" s="10"/>
      <c r="F11" s="10" t="s">
        <v>36</v>
      </c>
      <c r="G11" s="10" t="s">
        <v>49</v>
      </c>
      <c r="H11" s="10" t="s">
        <v>32</v>
      </c>
      <c r="I11" s="10" t="s">
        <v>32</v>
      </c>
      <c r="J11" s="14">
        <v>13010</v>
      </c>
      <c r="K11" s="14">
        <v>13010</v>
      </c>
      <c r="L11" s="10"/>
      <c r="M11" s="10"/>
      <c r="N11" s="10"/>
      <c r="O11" s="14">
        <v>2200</v>
      </c>
      <c r="P11" s="14">
        <v>863</v>
      </c>
      <c r="Q11" s="10"/>
      <c r="R11" s="14">
        <v>116</v>
      </c>
      <c r="S11" s="10"/>
      <c r="T11" s="14">
        <v>3099</v>
      </c>
      <c r="U11" s="14">
        <v>4400</v>
      </c>
      <c r="V11" s="14">
        <v>2332</v>
      </c>
    </row>
    <row r="12" ht="18" customHeight="1" spans="1:22">
      <c r="A12" s="9">
        <v>8</v>
      </c>
      <c r="B12" s="16" t="s">
        <v>56</v>
      </c>
      <c r="C12" s="10" t="s">
        <v>57</v>
      </c>
      <c r="D12" s="16" t="s">
        <v>58</v>
      </c>
      <c r="E12" s="10"/>
      <c r="F12" s="10" t="s">
        <v>36</v>
      </c>
      <c r="G12" s="10" t="s">
        <v>59</v>
      </c>
      <c r="H12" s="10" t="s">
        <v>32</v>
      </c>
      <c r="I12" s="10" t="s">
        <v>32</v>
      </c>
      <c r="J12" s="14">
        <v>9634</v>
      </c>
      <c r="K12" s="14">
        <v>9634</v>
      </c>
      <c r="L12" s="10"/>
      <c r="M12" s="10"/>
      <c r="N12" s="10"/>
      <c r="O12" s="10"/>
      <c r="P12" s="10"/>
      <c r="Q12" s="14">
        <v>2650</v>
      </c>
      <c r="R12" s="14">
        <v>116</v>
      </c>
      <c r="S12" s="10"/>
      <c r="T12" s="14">
        <v>1502</v>
      </c>
      <c r="U12" s="14">
        <v>4350</v>
      </c>
      <c r="V12" s="14">
        <v>1016</v>
      </c>
    </row>
    <row r="13" ht="18" customHeight="1" spans="1:22">
      <c r="A13" s="9">
        <v>9</v>
      </c>
      <c r="B13" s="16" t="s">
        <v>60</v>
      </c>
      <c r="C13" s="10" t="s">
        <v>61</v>
      </c>
      <c r="D13" s="16" t="s">
        <v>62</v>
      </c>
      <c r="E13" s="10"/>
      <c r="F13" s="10" t="s">
        <v>36</v>
      </c>
      <c r="G13" s="10" t="s">
        <v>49</v>
      </c>
      <c r="H13" s="10" t="s">
        <v>32</v>
      </c>
      <c r="I13" s="10" t="s">
        <v>32</v>
      </c>
      <c r="J13" s="14">
        <v>12951</v>
      </c>
      <c r="K13" s="14">
        <v>12951</v>
      </c>
      <c r="L13" s="10"/>
      <c r="M13" s="10"/>
      <c r="N13" s="10"/>
      <c r="O13" s="14">
        <v>2200</v>
      </c>
      <c r="P13" s="14">
        <v>804</v>
      </c>
      <c r="Q13" s="10"/>
      <c r="R13" s="14">
        <v>116</v>
      </c>
      <c r="S13" s="10"/>
      <c r="T13" s="14">
        <v>3099</v>
      </c>
      <c r="U13" s="14">
        <v>4400</v>
      </c>
      <c r="V13" s="14">
        <v>2332</v>
      </c>
    </row>
    <row r="14" ht="18" customHeight="1" spans="1:22">
      <c r="A14" s="9">
        <v>10</v>
      </c>
      <c r="B14" s="16" t="s">
        <v>63</v>
      </c>
      <c r="C14" s="10" t="s">
        <v>64</v>
      </c>
      <c r="D14" s="16" t="s">
        <v>65</v>
      </c>
      <c r="E14" s="10"/>
      <c r="F14" s="10" t="s">
        <v>36</v>
      </c>
      <c r="G14" s="10" t="s">
        <v>41</v>
      </c>
      <c r="H14" s="10" t="s">
        <v>32</v>
      </c>
      <c r="I14" s="10" t="s">
        <v>32</v>
      </c>
      <c r="J14" s="14">
        <v>14645</v>
      </c>
      <c r="K14" s="14">
        <v>14645</v>
      </c>
      <c r="L14" s="10"/>
      <c r="M14" s="10"/>
      <c r="N14" s="10"/>
      <c r="O14" s="14">
        <v>2520</v>
      </c>
      <c r="P14" s="14">
        <v>1515</v>
      </c>
      <c r="Q14" s="10"/>
      <c r="R14" s="14">
        <v>116</v>
      </c>
      <c r="S14" s="10"/>
      <c r="T14" s="14">
        <v>3124</v>
      </c>
      <c r="U14" s="14">
        <v>5050</v>
      </c>
      <c r="V14" s="14">
        <v>2320</v>
      </c>
    </row>
    <row r="15" ht="18" customHeight="1" spans="1:22">
      <c r="A15" s="9">
        <v>11</v>
      </c>
      <c r="B15" s="16" t="s">
        <v>66</v>
      </c>
      <c r="C15" s="10" t="s">
        <v>67</v>
      </c>
      <c r="D15" s="16" t="s">
        <v>68</v>
      </c>
      <c r="E15" s="10"/>
      <c r="F15" s="10" t="s">
        <v>36</v>
      </c>
      <c r="G15" s="10" t="s">
        <v>49</v>
      </c>
      <c r="H15" s="10" t="s">
        <v>32</v>
      </c>
      <c r="I15" s="10" t="s">
        <v>32</v>
      </c>
      <c r="J15" s="14">
        <v>13081</v>
      </c>
      <c r="K15" s="14">
        <v>13081</v>
      </c>
      <c r="L15" s="10"/>
      <c r="M15" s="10"/>
      <c r="N15" s="10"/>
      <c r="O15" s="14">
        <v>2200</v>
      </c>
      <c r="P15" s="14">
        <v>934</v>
      </c>
      <c r="Q15" s="10"/>
      <c r="R15" s="14">
        <v>116</v>
      </c>
      <c r="S15" s="10"/>
      <c r="T15" s="14">
        <v>3099</v>
      </c>
      <c r="U15" s="14">
        <v>4400</v>
      </c>
      <c r="V15" s="14">
        <v>2332</v>
      </c>
    </row>
    <row r="16" ht="18" customHeight="1" spans="1:22">
      <c r="A16" s="9">
        <v>12</v>
      </c>
      <c r="B16" s="16" t="s">
        <v>69</v>
      </c>
      <c r="C16" s="10" t="s">
        <v>70</v>
      </c>
      <c r="D16" s="16" t="s">
        <v>71</v>
      </c>
      <c r="E16" s="10"/>
      <c r="F16" s="10" t="s">
        <v>36</v>
      </c>
      <c r="G16" s="10" t="s">
        <v>45</v>
      </c>
      <c r="H16" s="10" t="s">
        <v>32</v>
      </c>
      <c r="I16" s="10" t="s">
        <v>32</v>
      </c>
      <c r="J16" s="14">
        <v>18712</v>
      </c>
      <c r="K16" s="14">
        <v>18712</v>
      </c>
      <c r="L16" s="10"/>
      <c r="M16" s="10"/>
      <c r="N16" s="10"/>
      <c r="O16" s="14">
        <v>3455</v>
      </c>
      <c r="P16" s="14">
        <v>1603</v>
      </c>
      <c r="Q16" s="10"/>
      <c r="R16" s="14">
        <v>116</v>
      </c>
      <c r="S16" s="10"/>
      <c r="T16" s="14">
        <v>3742</v>
      </c>
      <c r="U16" s="14">
        <v>6920</v>
      </c>
      <c r="V16" s="14">
        <v>2876</v>
      </c>
    </row>
    <row r="17" ht="18" customHeight="1" spans="1:22">
      <c r="A17" s="9">
        <v>13</v>
      </c>
      <c r="B17" s="16" t="s">
        <v>72</v>
      </c>
      <c r="C17" s="10" t="s">
        <v>73</v>
      </c>
      <c r="D17" s="16" t="s">
        <v>74</v>
      </c>
      <c r="E17" s="10"/>
      <c r="F17" s="10" t="s">
        <v>36</v>
      </c>
      <c r="G17" s="10" t="s">
        <v>41</v>
      </c>
      <c r="H17" s="10" t="s">
        <v>32</v>
      </c>
      <c r="I17" s="10" t="s">
        <v>32</v>
      </c>
      <c r="J17" s="14">
        <v>14031</v>
      </c>
      <c r="K17" s="14">
        <v>14031</v>
      </c>
      <c r="L17" s="10"/>
      <c r="M17" s="10"/>
      <c r="N17" s="10"/>
      <c r="O17" s="14">
        <v>2520</v>
      </c>
      <c r="P17" s="14">
        <v>1251</v>
      </c>
      <c r="Q17" s="10"/>
      <c r="R17" s="14">
        <v>116</v>
      </c>
      <c r="S17" s="10"/>
      <c r="T17" s="14">
        <v>3124</v>
      </c>
      <c r="U17" s="14">
        <v>4700</v>
      </c>
      <c r="V17" s="14">
        <v>2320</v>
      </c>
    </row>
    <row r="18" ht="18" customHeight="1" spans="1:22">
      <c r="A18" s="9">
        <v>14</v>
      </c>
      <c r="B18" s="16" t="s">
        <v>75</v>
      </c>
      <c r="C18" s="10" t="s">
        <v>76</v>
      </c>
      <c r="D18" s="16" t="s">
        <v>77</v>
      </c>
      <c r="E18" s="10"/>
      <c r="F18" s="10" t="s">
        <v>36</v>
      </c>
      <c r="G18" s="10" t="s">
        <v>37</v>
      </c>
      <c r="H18" s="10" t="s">
        <v>32</v>
      </c>
      <c r="I18" s="10" t="s">
        <v>32</v>
      </c>
      <c r="J18" s="14">
        <v>16335</v>
      </c>
      <c r="K18" s="14">
        <v>16335</v>
      </c>
      <c r="L18" s="10"/>
      <c r="M18" s="10"/>
      <c r="N18" s="10"/>
      <c r="O18" s="14">
        <v>2880</v>
      </c>
      <c r="P18" s="14">
        <v>1515</v>
      </c>
      <c r="Q18" s="10"/>
      <c r="R18" s="14">
        <v>116</v>
      </c>
      <c r="S18" s="10"/>
      <c r="T18" s="14">
        <v>3309</v>
      </c>
      <c r="U18" s="14">
        <v>5960</v>
      </c>
      <c r="V18" s="14">
        <v>2555</v>
      </c>
    </row>
    <row r="19" s="3" customFormat="1" ht="21" customHeight="1" spans="1:22">
      <c r="A19" s="11" t="s">
        <v>78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="3" customFormat="1" ht="21" customHeight="1" spans="1:22">
      <c r="A20" s="11" t="s">
        <v>79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="3" customFormat="1" ht="21" customHeight="1" spans="1:22">
      <c r="A21" s="12" t="s">
        <v>80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="3" customFormat="1" ht="32" customHeight="1" spans="1:22">
      <c r="A22" s="11" t="s">
        <v>81</v>
      </c>
      <c r="B22" s="13"/>
      <c r="C22" s="13"/>
      <c r="D22" s="13"/>
      <c r="E22" s="13"/>
      <c r="F22" s="13"/>
      <c r="G22" s="13" t="s">
        <v>82</v>
      </c>
      <c r="H22" s="13"/>
      <c r="I22" s="13"/>
      <c r="J22" s="13"/>
      <c r="K22" s="13"/>
      <c r="L22" s="13" t="s">
        <v>83</v>
      </c>
      <c r="M22" s="13"/>
      <c r="N22" s="13"/>
      <c r="O22" s="13"/>
      <c r="P22" s="13"/>
      <c r="Q22" s="13" t="s">
        <v>84</v>
      </c>
      <c r="R22" s="13"/>
      <c r="S22" s="13"/>
      <c r="T22" s="13"/>
      <c r="U22" s="13"/>
      <c r="V22" s="13"/>
    </row>
  </sheetData>
  <mergeCells count="9">
    <mergeCell ref="A1:V1"/>
    <mergeCell ref="A2:F2"/>
    <mergeCell ref="G2:H2"/>
    <mergeCell ref="J2:M2"/>
    <mergeCell ref="R2:V2"/>
    <mergeCell ref="A4:H4"/>
    <mergeCell ref="A19:V19"/>
    <mergeCell ref="A20:V20"/>
    <mergeCell ref="A21:V21"/>
  </mergeCells>
  <printOptions horizontalCentered="1"/>
  <pageMargins left="0.550694444444444" right="0.472222222222222" top="0.786805555555556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2025-02-21T09:23:00Z</dcterms:created>
  <dcterms:modified xsi:type="dcterms:W3CDTF">2025-02-21T09:29:34Z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