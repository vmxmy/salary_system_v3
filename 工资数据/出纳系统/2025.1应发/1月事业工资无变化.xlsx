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xumingyang/Desktop/未命名文件夹/出纳系统/2025.1应发/"/>
    </mc:Choice>
  </mc:AlternateContent>
  <xr:revisionPtr revIDLastSave="0" documentId="13_ncr:1_{A4401379-BE77-B64D-B7C2-2953E76BFCBB}" xr6:coauthVersionLast="47" xr6:coauthVersionMax="47" xr10:uidLastSave="{00000000-0000-0000-0000-000000000000}"/>
  <bookViews>
    <workbookView xWindow="4380" yWindow="680" windowWidth="23020" windowHeight="89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/>
  <c r="Q2" i="1"/>
  <c r="P2" i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<sst xmlns="http://schemas.openxmlformats.org/spreadsheetml/2006/main" count="81" uniqueCount="57">
  <si>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</si>
  <si>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</si>
  <si>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</si>
  <si>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</si>
  <si>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</si>
  <si>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</si>
  <si>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</si>
  <si>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</si>
  <si>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</si>
  <si>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</si>
  <si>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</si>
  <si>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岗位工资</t>
  </si>
  <si>
    <t>薪级工资</t>
  </si>
  <si>
    <t>见习试用期工资</t>
  </si>
  <si>
    <t>93年工改保留补贴</t>
  </si>
  <si>
    <t>独生子女父母奖励金</t>
  </si>
  <si>
    <t>月基础绩效</t>
  </si>
  <si>
    <t>基础绩效奖</t>
  </si>
  <si>
    <t>月奖励绩效</t>
  </si>
  <si>
    <t>00002</t>
  </si>
  <si>
    <t>刘嘉</t>
  </si>
  <si>
    <t>51010419790927236X</t>
  </si>
  <si>
    <t>事业技术工人</t>
  </si>
  <si>
    <t>技术工三级</t>
  </si>
  <si>
    <t>是</t>
  </si>
  <si>
    <t>00003</t>
  </si>
  <si>
    <t>张磊</t>
  </si>
  <si>
    <t>511111198901171715</t>
  </si>
  <si>
    <t>管理人员</t>
  </si>
  <si>
    <t>六级管理岗位</t>
  </si>
  <si>
    <t>00010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</si>
  <si>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</si>
  <si>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</si>
  <si>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</si>
  <si>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</si>
  <si>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</si>
  <si>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</si>
  <si>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</si>
  <si>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00017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</si>
  <si>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</si>
  <si>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</si>
  <si>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</si>
  <si>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</si>
  <si>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</si>
  <si>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</si>
  <si>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</si>
  <si>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</si>
  <si>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</si>
  <si>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00022</t>
  </si>
  <si>
    <t>李汶卿</t>
  </si>
  <si>
    <t>620503199907198039</t>
  </si>
  <si>
    <t>试用期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</si>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</sst>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 shrinkToFi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1" fillId="0" borderId="1" xfId="0" quotePrefix="1" applyFont="1" applyBorder="1" applyAlignment="1">
      <alignment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A2" sqref="A1:XFD2"/>
    </sheetView>
  </sheetViews>
  <sheetFormatPr baseColWidth="10" defaultColWidth="8.83203125" defaultRowHeight="14"/>
  <cols>
    <col min="1" max="1" width="4.1640625" style="4" customWidth="1"/>
    <col min="2" max="2" width="5.83203125" hidden="1" customWidth="1"/>
    <col min="3" max="3" width="8.1640625" customWidth="1"/>
    <col min="4" max="4" width="15.33203125" customWidth="1"/>
    <col min="5" max="5" width="5.83203125" hidden="1" customWidth="1"/>
    <col min="6" max="7" width="11.1640625" customWidth="1"/>
    <col min="8" max="9" width="5.83203125" customWidth="1"/>
    <col min="10" max="11" width="8.1640625" customWidth="1"/>
    <col min="12" max="13" width="7.1640625" customWidth="1"/>
    <col min="14" max="14" width="6.83203125" customWidth="1"/>
    <col min="15" max="15" width="5.83203125" customWidth="1"/>
    <col min="16" max="16" width="5.5" customWidth="1"/>
    <col min="17" max="19" width="7.1640625" customWidth="1"/>
  </cols>
  <sheetData>
    <row r="1" spans="1:19" s="2" customFormat="1" ht="69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s="1" customFormat="1" ht="24" customHeight="1">
      <c r="A2" s="13" t="s">
        <v>9</v>
      </c>
      <c r="B2" s="13"/>
      <c r="C2" s="13"/>
      <c r="D2" s="13"/>
      <c r="E2" s="13"/>
      <c r="F2" s="13"/>
      <c r="G2" s="13"/>
      <c r="H2" s="13"/>
      <c r="I2" s="9">
        <f t="shared" ref="I2:S2" si="0">SUM(I3:I13)</f>
        <v>0</v>
      </c>
      <c r="J2" s="9">
        <f t="shared" si="0"/>
        <v>109232</v>
      </c>
      <c r="K2" s="9">
        <f t="shared" si="0"/>
        <v>109232</v>
      </c>
      <c r="L2" s="9">
        <f t="shared" si="0"/>
        <v>15620</v>
      </c>
      <c r="M2" s="9">
        <f t="shared" si="0"/>
        <v>8146</v>
      </c>
      <c r="N2" s="9">
        <f t="shared" si="0"/>
        <v>2360</v>
      </c>
      <c r="O2" s="9">
        <f t="shared" si="0"/>
        <v>928</v>
      </c>
      <c r="P2" s="9">
        <f t="shared" si="0"/>
        <v>10</v>
      </c>
      <c r="Q2" s="9">
        <f t="shared" si="0"/>
        <v>24088</v>
      </c>
      <c r="R2" s="9">
        <f t="shared" si="0"/>
        <v>39980</v>
      </c>
      <c r="S2" s="9">
        <f t="shared" si="0"/>
        <v>18100</v>
      </c>
    </row>
    <row r="3" spans="1:19" s="3" customFormat="1" ht="24" customHeight="1">
      <c r="A3" s="6">
        <v>1</v>
      </c>
      <c r="B3" s="11" t="s">
        <v>19</v>
      </c>
      <c r="C3" s="7" t="s">
        <v>20</v>
      </c>
      <c r="D3" s="11" t="s">
        <v>21</v>
      </c>
      <c r="E3" s="7"/>
      <c r="F3" s="7" t="s">
        <v>22</v>
      </c>
      <c r="G3" s="7" t="s">
        <v>23</v>
      </c>
      <c r="H3" s="7" t="s">
        <v>24</v>
      </c>
      <c r="I3" s="7" t="s">
        <v>24</v>
      </c>
      <c r="J3" s="9">
        <v>12990</v>
      </c>
      <c r="K3" s="9">
        <v>12990</v>
      </c>
      <c r="L3" s="9">
        <v>1780</v>
      </c>
      <c r="M3" s="9">
        <v>1188</v>
      </c>
      <c r="N3" s="7"/>
      <c r="O3" s="9">
        <v>116</v>
      </c>
      <c r="P3" s="9">
        <v>5</v>
      </c>
      <c r="Q3" s="9">
        <v>3114</v>
      </c>
      <c r="R3" s="9">
        <v>4450</v>
      </c>
      <c r="S3" s="9">
        <v>2337</v>
      </c>
    </row>
    <row r="4" spans="1:19" s="3" customFormat="1" ht="24" customHeight="1">
      <c r="A4" s="6">
        <v>2</v>
      </c>
      <c r="B4" s="11" t="s">
        <v>25</v>
      </c>
      <c r="C4" s="7" t="s">
        <v>26</v>
      </c>
      <c r="D4" s="11" t="s">
        <v>27</v>
      </c>
      <c r="E4" s="7"/>
      <c r="F4" s="7" t="s">
        <v>28</v>
      </c>
      <c r="G4" s="7" t="s">
        <v>29</v>
      </c>
      <c r="H4" s="7" t="s">
        <v>24</v>
      </c>
      <c r="I4" s="7" t="s">
        <v>24</v>
      </c>
      <c r="J4" s="9">
        <v>15897</v>
      </c>
      <c r="K4" s="9">
        <v>15897</v>
      </c>
      <c r="L4" s="9">
        <v>2600</v>
      </c>
      <c r="M4" s="9">
        <v>1357</v>
      </c>
      <c r="N4" s="7"/>
      <c r="O4" s="9">
        <v>116</v>
      </c>
      <c r="P4" s="7"/>
      <c r="Q4" s="9">
        <v>3309</v>
      </c>
      <c r="R4" s="9">
        <v>5960</v>
      </c>
      <c r="S4" s="9">
        <v>2555</v>
      </c>
    </row>
    <row r="5" spans="1:19" s="3" customFormat="1" ht="24" customHeight="1">
      <c r="A5" s="6">
        <v>3</v>
      </c>
      <c r="B5" s="11" t="s">
        <v>30</v>
      </c>
      <c r="C5" s="7" t="s">
        <v>31</v>
      </c>
      <c r="D5" s="11" t="s">
        <v>32</v>
      </c>
      <c r="E5" s="7"/>
      <c r="F5" s="7" t="s">
        <v>28</v>
      </c>
      <c r="G5" s="7" t="s">
        <v>33</v>
      </c>
      <c r="H5" s="7" t="s">
        <v>24</v>
      </c>
      <c r="I5" s="7" t="s">
        <v>24</v>
      </c>
      <c r="J5" s="9">
        <v>14059</v>
      </c>
      <c r="K5" s="9">
        <v>14059</v>
      </c>
      <c r="L5" s="9">
        <v>2240</v>
      </c>
      <c r="M5" s="9">
        <v>1209</v>
      </c>
      <c r="N5" s="7"/>
      <c r="O5" s="9">
        <v>116</v>
      </c>
      <c r="P5" s="7"/>
      <c r="Q5" s="9">
        <v>3124</v>
      </c>
      <c r="R5" s="9">
        <v>5050</v>
      </c>
      <c r="S5" s="9">
        <v>2320</v>
      </c>
    </row>
    <row r="6" spans="1:19" s="3" customFormat="1" ht="24" customHeight="1">
      <c r="A6" s="6">
        <v>4</v>
      </c>
      <c r="B6" s="11" t="s">
        <v>34</v>
      </c>
      <c r="C6" s="7" t="s">
        <v>35</v>
      </c>
      <c r="D6" s="11" t="s">
        <v>36</v>
      </c>
      <c r="E6" s="7"/>
      <c r="F6" s="7" t="s">
        <v>28</v>
      </c>
      <c r="G6" s="7" t="s">
        <v>37</v>
      </c>
      <c r="H6" s="7" t="s">
        <v>24</v>
      </c>
      <c r="I6" s="7" t="s">
        <v>24</v>
      </c>
      <c r="J6" s="9">
        <v>18819</v>
      </c>
      <c r="K6" s="9">
        <v>18819</v>
      </c>
      <c r="L6" s="9">
        <v>3120</v>
      </c>
      <c r="M6" s="9">
        <v>2040</v>
      </c>
      <c r="N6" s="7"/>
      <c r="O6" s="9">
        <v>116</v>
      </c>
      <c r="P6" s="9">
        <v>5</v>
      </c>
      <c r="Q6" s="9">
        <v>3742</v>
      </c>
      <c r="R6" s="9">
        <v>6920</v>
      </c>
      <c r="S6" s="9">
        <v>2876</v>
      </c>
    </row>
    <row r="7" spans="1:19" s="3" customFormat="1" ht="24" customHeight="1">
      <c r="A7" s="6">
        <v>5</v>
      </c>
      <c r="B7" s="11" t="s">
        <v>38</v>
      </c>
      <c r="C7" s="7" t="s">
        <v>39</v>
      </c>
      <c r="D7" s="11" t="s">
        <v>40</v>
      </c>
      <c r="E7" s="7"/>
      <c r="F7" s="7" t="s">
        <v>28</v>
      </c>
      <c r="G7" s="7" t="s">
        <v>41</v>
      </c>
      <c r="H7" s="7" t="s">
        <v>24</v>
      </c>
      <c r="I7" s="7" t="s">
        <v>24</v>
      </c>
      <c r="J7" s="9">
        <v>12779</v>
      </c>
      <c r="K7" s="9">
        <v>12779</v>
      </c>
      <c r="L7" s="9">
        <v>1960</v>
      </c>
      <c r="M7" s="9">
        <v>822</v>
      </c>
      <c r="N7" s="7"/>
      <c r="O7" s="9">
        <v>116</v>
      </c>
      <c r="P7" s="7"/>
      <c r="Q7" s="9">
        <v>3099</v>
      </c>
      <c r="R7" s="9">
        <v>4450</v>
      </c>
      <c r="S7" s="9">
        <v>2332</v>
      </c>
    </row>
    <row r="8" spans="1:19" s="3" customFormat="1" ht="24" customHeight="1">
      <c r="A8" s="6">
        <v>6</v>
      </c>
      <c r="B8" s="11" t="s">
        <v>42</v>
      </c>
      <c r="C8" s="7" t="s">
        <v>43</v>
      </c>
      <c r="D8" s="11" t="s">
        <v>44</v>
      </c>
      <c r="E8" s="7"/>
      <c r="F8" s="7" t="s">
        <v>28</v>
      </c>
      <c r="G8" s="7" t="s">
        <v>41</v>
      </c>
      <c r="H8" s="7" t="s">
        <v>24</v>
      </c>
      <c r="I8" s="7" t="s">
        <v>24</v>
      </c>
      <c r="J8" s="9">
        <v>12672</v>
      </c>
      <c r="K8" s="9">
        <v>12672</v>
      </c>
      <c r="L8" s="9">
        <v>1960</v>
      </c>
      <c r="M8" s="9">
        <v>765</v>
      </c>
      <c r="N8" s="7"/>
      <c r="O8" s="9">
        <v>116</v>
      </c>
      <c r="P8" s="7"/>
      <c r="Q8" s="9">
        <v>3099</v>
      </c>
      <c r="R8" s="9">
        <v>4400</v>
      </c>
      <c r="S8" s="9">
        <v>2332</v>
      </c>
    </row>
    <row r="9" spans="1:19" s="3" customFormat="1" ht="24" customHeight="1">
      <c r="A9" s="6">
        <v>7</v>
      </c>
      <c r="B9" s="11" t="s">
        <v>45</v>
      </c>
      <c r="C9" s="7" t="s">
        <v>46</v>
      </c>
      <c r="D9" s="11" t="s">
        <v>47</v>
      </c>
      <c r="E9" s="7"/>
      <c r="F9" s="7" t="s">
        <v>28</v>
      </c>
      <c r="G9" s="7" t="s">
        <v>41</v>
      </c>
      <c r="H9" s="7" t="s">
        <v>24</v>
      </c>
      <c r="I9" s="7" t="s">
        <v>24</v>
      </c>
      <c r="J9" s="9">
        <v>12672</v>
      </c>
      <c r="K9" s="9">
        <v>12672</v>
      </c>
      <c r="L9" s="9">
        <v>1960</v>
      </c>
      <c r="M9" s="9">
        <v>765</v>
      </c>
      <c r="N9" s="7"/>
      <c r="O9" s="9">
        <v>116</v>
      </c>
      <c r="P9" s="7"/>
      <c r="Q9" s="9">
        <v>3099</v>
      </c>
      <c r="R9" s="9">
        <v>4400</v>
      </c>
      <c r="S9" s="9">
        <v>2332</v>
      </c>
    </row>
    <row r="10" spans="1:19" s="3" customFormat="1" ht="24" customHeight="1">
      <c r="A10" s="6">
        <v>8</v>
      </c>
      <c r="B10" s="11" t="s">
        <v>48</v>
      </c>
      <c r="C10" s="7" t="s">
        <v>49</v>
      </c>
      <c r="D10" s="11" t="s">
        <v>50</v>
      </c>
      <c r="E10" s="7"/>
      <c r="F10" s="7" t="s">
        <v>28</v>
      </c>
      <c r="G10" s="7" t="s">
        <v>51</v>
      </c>
      <c r="H10" s="7" t="s">
        <v>24</v>
      </c>
      <c r="I10" s="7" t="s">
        <v>24</v>
      </c>
      <c r="J10" s="9">
        <v>9344</v>
      </c>
      <c r="K10" s="9">
        <v>9344</v>
      </c>
      <c r="L10" s="7"/>
      <c r="M10" s="7"/>
      <c r="N10" s="9">
        <v>2360</v>
      </c>
      <c r="O10" s="9">
        <v>116</v>
      </c>
      <c r="P10" s="7"/>
      <c r="Q10" s="9">
        <v>1502</v>
      </c>
      <c r="R10" s="9">
        <v>4350</v>
      </c>
      <c r="S10" s="9">
        <v>1016</v>
      </c>
    </row>
    <row r="11" spans="1:19" s="3" customFormat="1" ht="42" customHeight="1">
      <c r="A11" s="4"/>
      <c r="B11" s="1"/>
      <c r="C11" s="1"/>
      <c r="D11" s="12" t="s">
        <v>52</v>
      </c>
      <c r="E11" s="12"/>
      <c r="F11" s="12"/>
      <c r="G11" s="12"/>
      <c r="H11" s="1"/>
      <c r="I11" s="1"/>
      <c r="J11" s="10"/>
      <c r="K11" s="10"/>
      <c r="L11" s="1"/>
      <c r="M11" s="1"/>
      <c r="N11" s="10"/>
      <c r="O11" s="10"/>
      <c r="P11" s="1"/>
      <c r="Q11" s="10"/>
      <c r="R11" s="10"/>
      <c r="S11" s="10"/>
    </row>
    <row r="12" spans="1:19" s="3" customFormat="1" ht="27" customHeight="1">
      <c r="A12" s="8" t="s">
        <v>53</v>
      </c>
      <c r="G12" s="3" t="s">
        <v>54</v>
      </c>
      <c r="K12" s="3" t="s">
        <v>55</v>
      </c>
      <c r="Q12" s="3" t="s">
        <v>56</v>
      </c>
    </row>
  </sheetData>
  <mergeCells count="2">
    <mergeCell ref="A2:H2"/>
    <mergeCell ref="D11:G11"/>
  </mergeCells>
  <phoneticPr fontId="2" type="noConversion"/>
  <printOptions horizontalCentered="1"/>
  <pageMargins left="0.59027777777777801" right="0.51180555555555596" top="0.90486111111111101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Mingyang Xu</cp:lastModifiedBy>
  <dcterms:created xsi:type="dcterms:W3CDTF">2023-12-20T06:55:00Z</dcterms:created>
  <dcterms:modified xsi:type="dcterms:W3CDTF">2025-06-16T02:57:45Z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