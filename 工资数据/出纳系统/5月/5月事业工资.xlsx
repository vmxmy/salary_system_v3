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<sst xmlns="http://schemas.openxmlformats.org/spreadsheetml/2006/main" count="129" uniqueCount="81">
  <si>
    <t>2025年05月工资基金 事业工资发放表</t>
  </si>
  <si>
    <t>单位名称：高新区财政国资局(事业人员）</t>
  </si>
  <si>
    <t>单位：元</t>
  </si>
  <si>
    <t>经办人签字:</t>
  </si>
  <si>
    <t>制表时间：2025年4月17日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</si>
  <si>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</si>
  <si>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</si>
  <si>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</si>
  <si>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</si>
  <si>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</si>
  <si>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</si>
  <si>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</si>
  <si>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</si>
  <si>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</si>
  <si>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</si>
  <si>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</si>
  <si>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</si>
  <si>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</si>
  <si>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</si>
  <si>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</si>
  <si>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</si>
  <si>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</si>
  <si>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</si>
  <si>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</si>
  <si>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备注</t>
  </si>
  <si>
    <t>00002</t>
  </si>
  <si>
    <t>刘嘉</t>
  </si>
  <si>
    <t>51010419790927236X</t>
  </si>
  <si>
    <t>事业技术工人</t>
  </si>
  <si>
    <t>技术工二级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</si>
  <si>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</si>
  <si>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</si>
  <si>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</si>
  <si>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</si>
  <si>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</si>
  <si>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</si>
  <si>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</si>
  <si>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</si>
  <si>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</si>
  <si>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</si>
  <si>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</si>
  <si>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</si>
  <si>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</si>
  <si>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</si>
  <si>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</si>
  <si>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</si>
  <si>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</si>
  <si>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</si>
  <si>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</si>
  <si>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</si>
  <si>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</si>
  <si>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</si>
  <si>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</si>
  <si>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</si>
  <si>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</si>
  <si>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</si>
  <si>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</si>
  <si>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</si>
  <si>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</si>
  <si>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</si>
  <si>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</si>
  <si>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</si>
  <si>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</si>
  <si>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</si>
  <si>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00025</t>
  </si>
  <si>
    <t>何万达</t>
  </si>
  <si>
    <t>513721199708058376</t>
  </si>
  <si>
    <t>00026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</si>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</sst>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3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tabSelected="1" workbookViewId="0">
      <selection activeCell="Q10" sqref="Q10"/>
    </sheetView>
  </sheetViews>
  <sheetFormatPr defaultColWidth="8.88888888888889" defaultRowHeight="14.4"/>
  <cols>
    <col min="1" max="1" width="3.55555555555556" style="5" customWidth="1"/>
    <col min="2" max="2" width="5.77777777777778" style="1" hidden="1" customWidth="1"/>
    <col min="3" max="3" width="8.55555555555556" style="1" customWidth="1"/>
    <col min="4" max="4" width="15.7777777777778" style="1" customWidth="1"/>
    <col min="5" max="5" width="5.77777777777778" style="1" hidden="1" customWidth="1"/>
    <col min="6" max="6" width="10.2222222222222" style="1" customWidth="1"/>
    <col min="7" max="7" width="13.1111111111111" style="1" customWidth="1"/>
    <col min="8" max="9" width="5.77777777777778" style="1" hidden="1" customWidth="1"/>
    <col min="10" max="10" width="8.33333333333333" style="1" customWidth="1"/>
    <col min="11" max="11" width="8.22222222222222" style="1" customWidth="1"/>
    <col min="12" max="13" width="7.22222222222222" style="1" customWidth="1"/>
    <col min="14" max="14" width="6.55555555555556" style="1" customWidth="1"/>
    <col min="15" max="19" width="7.11111111111111" style="1" customWidth="1"/>
    <col min="20" max="20" width="5.33333333333333" style="1" customWidth="1"/>
    <col min="21" max="16382" width="8.88888888888889" style="1"/>
  </cols>
  <sheetData>
    <row r="1" s="1" customFormat="1" ht="30" customHeight="1" spans="1:2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2" customFormat="1" ht="27" customHeight="1" spans="1:20">
      <c r="A2" s="7" t="s">
        <v>1</v>
      </c>
      <c r="G2" s="2" t="s">
        <v>2</v>
      </c>
      <c r="J2" s="2" t="s">
        <v>3</v>
      </c>
      <c r="Q2" s="15" t="s">
        <v>4</v>
      </c>
      <c r="R2" s="15"/>
      <c r="S2" s="15"/>
      <c r="T2" s="15"/>
    </row>
    <row r="3" s="3" customFormat="1" ht="60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  <c r="R3" s="8" t="s">
        <v>22</v>
      </c>
      <c r="S3" s="8" t="s">
        <v>23</v>
      </c>
      <c r="T3" s="8" t="s">
        <v>24</v>
      </c>
    </row>
    <row r="4" s="2" customFormat="1" ht="18" customHeight="1" spans="1:20">
      <c r="A4" s="9" t="s">
        <v>14</v>
      </c>
      <c r="B4" s="9"/>
      <c r="C4" s="9"/>
      <c r="D4" s="9"/>
      <c r="E4" s="9"/>
      <c r="F4" s="9"/>
      <c r="G4" s="9"/>
      <c r="H4" s="9"/>
      <c r="I4" s="14">
        <f t="shared" ref="I4:S4" si="0">SUM(I5:I19)</f>
        <v>0</v>
      </c>
      <c r="J4" s="14">
        <f t="shared" si="0"/>
        <v>202952</v>
      </c>
      <c r="K4" s="14">
        <f t="shared" si="0"/>
        <v>202952</v>
      </c>
      <c r="L4" s="14">
        <f t="shared" si="0"/>
        <v>33490</v>
      </c>
      <c r="M4" s="14">
        <f t="shared" si="0"/>
        <v>17070</v>
      </c>
      <c r="N4" s="14">
        <f t="shared" si="0"/>
        <v>2650</v>
      </c>
      <c r="O4" s="14">
        <f t="shared" si="0"/>
        <v>1624</v>
      </c>
      <c r="P4" s="14">
        <f t="shared" si="0"/>
        <v>10</v>
      </c>
      <c r="Q4" s="14">
        <f t="shared" si="0"/>
        <v>43623</v>
      </c>
      <c r="R4" s="14">
        <f t="shared" si="0"/>
        <v>71660</v>
      </c>
      <c r="S4" s="14">
        <f t="shared" si="0"/>
        <v>32825</v>
      </c>
      <c r="T4" s="14"/>
    </row>
    <row r="5" s="1" customFormat="1" ht="18" customHeight="1" spans="1:20">
      <c r="A5" s="10">
        <v>1</v>
      </c>
      <c r="B5" s="16" t="s">
        <v>25</v>
      </c>
      <c r="C5" s="11" t="s">
        <v>26</v>
      </c>
      <c r="D5" s="16" t="s">
        <v>27</v>
      </c>
      <c r="E5" s="11"/>
      <c r="F5" s="11" t="s">
        <v>28</v>
      </c>
      <c r="G5" s="11" t="s">
        <v>29</v>
      </c>
      <c r="H5" s="11" t="s">
        <v>30</v>
      </c>
      <c r="I5" s="11" t="s">
        <v>30</v>
      </c>
      <c r="J5" s="14">
        <v>13943</v>
      </c>
      <c r="K5" s="14">
        <v>13943</v>
      </c>
      <c r="L5" s="14">
        <v>2260</v>
      </c>
      <c r="M5" s="14">
        <v>1383</v>
      </c>
      <c r="N5" s="14"/>
      <c r="O5" s="14">
        <v>116</v>
      </c>
      <c r="P5" s="14">
        <v>5</v>
      </c>
      <c r="Q5" s="11">
        <v>3152</v>
      </c>
      <c r="R5" s="14">
        <v>4700</v>
      </c>
      <c r="S5" s="14">
        <v>2327</v>
      </c>
      <c r="T5" s="14"/>
    </row>
    <row r="6" s="1" customFormat="1" ht="18" customHeight="1" spans="1:20">
      <c r="A6" s="10">
        <v>2</v>
      </c>
      <c r="B6" s="16" t="s">
        <v>31</v>
      </c>
      <c r="C6" s="11" t="s">
        <v>32</v>
      </c>
      <c r="D6" s="16" t="s">
        <v>33</v>
      </c>
      <c r="E6" s="11"/>
      <c r="F6" s="11" t="s">
        <v>34</v>
      </c>
      <c r="G6" s="11" t="s">
        <v>35</v>
      </c>
      <c r="H6" s="11" t="s">
        <v>30</v>
      </c>
      <c r="I6" s="11" t="s">
        <v>30</v>
      </c>
      <c r="J6" s="14">
        <v>16423</v>
      </c>
      <c r="K6" s="14">
        <v>16423</v>
      </c>
      <c r="L6" s="11">
        <v>2880</v>
      </c>
      <c r="M6" s="11">
        <v>1603</v>
      </c>
      <c r="N6" s="11"/>
      <c r="O6" s="14">
        <v>116</v>
      </c>
      <c r="P6" s="14"/>
      <c r="Q6" s="11">
        <v>3309</v>
      </c>
      <c r="R6" s="14">
        <v>5960</v>
      </c>
      <c r="S6" s="11">
        <v>2555</v>
      </c>
      <c r="T6" s="14"/>
    </row>
    <row r="7" s="1" customFormat="1" ht="18" customHeight="1" spans="1:20">
      <c r="A7" s="10">
        <v>3</v>
      </c>
      <c r="B7" s="16" t="s">
        <v>36</v>
      </c>
      <c r="C7" s="11" t="s">
        <v>37</v>
      </c>
      <c r="D7" s="16" t="s">
        <v>38</v>
      </c>
      <c r="E7" s="11"/>
      <c r="F7" s="11" t="s">
        <v>34</v>
      </c>
      <c r="G7" s="11" t="s">
        <v>39</v>
      </c>
      <c r="H7" s="11" t="s">
        <v>30</v>
      </c>
      <c r="I7" s="11" t="s">
        <v>30</v>
      </c>
      <c r="J7" s="14">
        <v>14557</v>
      </c>
      <c r="K7" s="14">
        <v>14557</v>
      </c>
      <c r="L7" s="11">
        <v>2520</v>
      </c>
      <c r="M7" s="11">
        <v>1427</v>
      </c>
      <c r="N7" s="11"/>
      <c r="O7" s="14">
        <v>116</v>
      </c>
      <c r="P7" s="14"/>
      <c r="Q7" s="11">
        <v>3124</v>
      </c>
      <c r="R7" s="14">
        <v>5050</v>
      </c>
      <c r="S7" s="11">
        <v>2320</v>
      </c>
      <c r="T7" s="14"/>
    </row>
    <row r="8" s="1" customFormat="1" ht="18" customHeight="1" spans="1:20">
      <c r="A8" s="10">
        <v>4</v>
      </c>
      <c r="B8" s="16" t="s">
        <v>40</v>
      </c>
      <c r="C8" s="11" t="s">
        <v>41</v>
      </c>
      <c r="D8" s="16" t="s">
        <v>42</v>
      </c>
      <c r="E8" s="11"/>
      <c r="F8" s="11" t="s">
        <v>34</v>
      </c>
      <c r="G8" s="11" t="s">
        <v>43</v>
      </c>
      <c r="H8" s="11" t="s">
        <v>30</v>
      </c>
      <c r="I8" s="11" t="s">
        <v>30</v>
      </c>
      <c r="J8" s="14">
        <v>19489</v>
      </c>
      <c r="K8" s="14">
        <v>19489</v>
      </c>
      <c r="L8" s="11">
        <v>3455</v>
      </c>
      <c r="M8" s="11">
        <v>2375</v>
      </c>
      <c r="N8" s="11"/>
      <c r="O8" s="14">
        <v>116</v>
      </c>
      <c r="P8" s="14">
        <v>5</v>
      </c>
      <c r="Q8" s="11">
        <v>3742</v>
      </c>
      <c r="R8" s="14">
        <v>6920</v>
      </c>
      <c r="S8" s="14">
        <v>2876</v>
      </c>
      <c r="T8" s="14"/>
    </row>
    <row r="9" s="1" customFormat="1" ht="18" customHeight="1" spans="1:20">
      <c r="A9" s="10">
        <v>5</v>
      </c>
      <c r="B9" s="16" t="s">
        <v>44</v>
      </c>
      <c r="C9" s="11" t="s">
        <v>45</v>
      </c>
      <c r="D9" s="16" t="s">
        <v>46</v>
      </c>
      <c r="E9" s="11"/>
      <c r="F9" s="11" t="s">
        <v>34</v>
      </c>
      <c r="G9" s="11" t="s">
        <v>47</v>
      </c>
      <c r="H9" s="11" t="s">
        <v>30</v>
      </c>
      <c r="I9" s="11" t="s">
        <v>30</v>
      </c>
      <c r="J9" s="14">
        <v>13131</v>
      </c>
      <c r="K9" s="14">
        <v>13131</v>
      </c>
      <c r="L9" s="11">
        <v>2200</v>
      </c>
      <c r="M9" s="11">
        <v>934</v>
      </c>
      <c r="N9" s="11"/>
      <c r="O9" s="14">
        <v>116</v>
      </c>
      <c r="P9" s="14"/>
      <c r="Q9" s="11">
        <v>3099</v>
      </c>
      <c r="R9" s="14">
        <v>4450</v>
      </c>
      <c r="S9" s="11">
        <v>2332</v>
      </c>
      <c r="T9" s="14"/>
    </row>
    <row r="10" s="1" customFormat="1" ht="18" customHeight="1" spans="1:20">
      <c r="A10" s="10">
        <v>6</v>
      </c>
      <c r="B10" s="16" t="s">
        <v>48</v>
      </c>
      <c r="C10" s="11" t="s">
        <v>49</v>
      </c>
      <c r="D10" s="16" t="s">
        <v>50</v>
      </c>
      <c r="E10" s="11"/>
      <c r="F10" s="11" t="s">
        <v>34</v>
      </c>
      <c r="G10" s="11" t="s">
        <v>47</v>
      </c>
      <c r="H10" s="11" t="s">
        <v>30</v>
      </c>
      <c r="I10" s="11" t="s">
        <v>30</v>
      </c>
      <c r="J10" s="14">
        <v>13010</v>
      </c>
      <c r="K10" s="14">
        <v>13010</v>
      </c>
      <c r="L10" s="11">
        <v>2200</v>
      </c>
      <c r="M10" s="11">
        <v>863</v>
      </c>
      <c r="N10" s="11"/>
      <c r="O10" s="14">
        <v>116</v>
      </c>
      <c r="P10" s="14"/>
      <c r="Q10" s="11">
        <v>3099</v>
      </c>
      <c r="R10" s="14">
        <v>4400</v>
      </c>
      <c r="S10" s="11">
        <v>2332</v>
      </c>
      <c r="T10" s="14"/>
    </row>
    <row r="11" s="1" customFormat="1" ht="18" customHeight="1" spans="1:20">
      <c r="A11" s="10">
        <v>7</v>
      </c>
      <c r="B11" s="16" t="s">
        <v>51</v>
      </c>
      <c r="C11" s="11" t="s">
        <v>52</v>
      </c>
      <c r="D11" s="16" t="s">
        <v>53</v>
      </c>
      <c r="E11" s="11"/>
      <c r="F11" s="11" t="s">
        <v>34</v>
      </c>
      <c r="G11" s="11" t="s">
        <v>47</v>
      </c>
      <c r="H11" s="11" t="s">
        <v>30</v>
      </c>
      <c r="I11" s="11" t="s">
        <v>30</v>
      </c>
      <c r="J11" s="14">
        <v>13010</v>
      </c>
      <c r="K11" s="14">
        <v>13010</v>
      </c>
      <c r="L11" s="11">
        <v>2200</v>
      </c>
      <c r="M11" s="11">
        <v>863</v>
      </c>
      <c r="N11" s="11"/>
      <c r="O11" s="14">
        <v>116</v>
      </c>
      <c r="P11" s="14"/>
      <c r="Q11" s="11">
        <v>3099</v>
      </c>
      <c r="R11" s="14">
        <v>4400</v>
      </c>
      <c r="S11" s="11">
        <v>2332</v>
      </c>
      <c r="T11" s="14"/>
    </row>
    <row r="12" s="1" customFormat="1" ht="18" customHeight="1" spans="1:20">
      <c r="A12" s="10">
        <v>8</v>
      </c>
      <c r="B12" s="16" t="s">
        <v>54</v>
      </c>
      <c r="C12" s="11" t="s">
        <v>55</v>
      </c>
      <c r="D12" s="16" t="s">
        <v>56</v>
      </c>
      <c r="E12" s="11"/>
      <c r="F12" s="11" t="s">
        <v>34</v>
      </c>
      <c r="G12" s="11" t="s">
        <v>57</v>
      </c>
      <c r="H12" s="11" t="s">
        <v>30</v>
      </c>
      <c r="I12" s="11" t="s">
        <v>30</v>
      </c>
      <c r="J12" s="14">
        <v>9634</v>
      </c>
      <c r="K12" s="14">
        <v>9634</v>
      </c>
      <c r="L12" s="11"/>
      <c r="M12" s="11"/>
      <c r="N12" s="11">
        <v>2650</v>
      </c>
      <c r="O12" s="11">
        <v>116</v>
      </c>
      <c r="P12" s="11"/>
      <c r="Q12" s="14">
        <v>1502</v>
      </c>
      <c r="R12" s="14">
        <v>4350</v>
      </c>
      <c r="S12" s="11">
        <v>1016</v>
      </c>
      <c r="T12" s="14"/>
    </row>
    <row r="13" s="1" customFormat="1" ht="18" customHeight="1" spans="1:20">
      <c r="A13" s="10">
        <v>9</v>
      </c>
      <c r="B13" s="16" t="s">
        <v>58</v>
      </c>
      <c r="C13" s="11" t="s">
        <v>59</v>
      </c>
      <c r="D13" s="16" t="s">
        <v>60</v>
      </c>
      <c r="E13" s="11"/>
      <c r="F13" s="11" t="s">
        <v>34</v>
      </c>
      <c r="G13" s="11" t="s">
        <v>47</v>
      </c>
      <c r="H13" s="11" t="s">
        <v>30</v>
      </c>
      <c r="I13" s="11" t="s">
        <v>30</v>
      </c>
      <c r="J13" s="14">
        <v>12951</v>
      </c>
      <c r="K13" s="14">
        <v>12951</v>
      </c>
      <c r="L13" s="11">
        <v>2200</v>
      </c>
      <c r="M13" s="11">
        <v>804</v>
      </c>
      <c r="N13" s="11"/>
      <c r="O13" s="14">
        <v>116</v>
      </c>
      <c r="P13" s="14"/>
      <c r="Q13" s="11">
        <v>3099</v>
      </c>
      <c r="R13" s="14">
        <v>4400</v>
      </c>
      <c r="S13" s="11">
        <v>2332</v>
      </c>
      <c r="T13" s="14"/>
    </row>
    <row r="14" s="1" customFormat="1" ht="18" customHeight="1" spans="1:20">
      <c r="A14" s="10">
        <v>10</v>
      </c>
      <c r="B14" s="16" t="s">
        <v>61</v>
      </c>
      <c r="C14" s="11" t="s">
        <v>62</v>
      </c>
      <c r="D14" s="16" t="s">
        <v>63</v>
      </c>
      <c r="E14" s="11"/>
      <c r="F14" s="11" t="s">
        <v>34</v>
      </c>
      <c r="G14" s="11" t="s">
        <v>39</v>
      </c>
      <c r="H14" s="11" t="s">
        <v>30</v>
      </c>
      <c r="I14" s="11" t="s">
        <v>30</v>
      </c>
      <c r="J14" s="14">
        <v>14645</v>
      </c>
      <c r="K14" s="14">
        <v>14645</v>
      </c>
      <c r="L14" s="11">
        <v>2520</v>
      </c>
      <c r="M14" s="11">
        <v>1515</v>
      </c>
      <c r="N14" s="11"/>
      <c r="O14" s="14">
        <v>116</v>
      </c>
      <c r="P14" s="14"/>
      <c r="Q14" s="11">
        <v>3124</v>
      </c>
      <c r="R14" s="14">
        <v>5050</v>
      </c>
      <c r="S14" s="11">
        <v>2320</v>
      </c>
      <c r="T14" s="14"/>
    </row>
    <row r="15" s="1" customFormat="1" ht="18" customHeight="1" spans="1:20">
      <c r="A15" s="10">
        <v>11</v>
      </c>
      <c r="B15" s="16" t="s">
        <v>64</v>
      </c>
      <c r="C15" s="11" t="s">
        <v>65</v>
      </c>
      <c r="D15" s="16" t="s">
        <v>66</v>
      </c>
      <c r="E15" s="11"/>
      <c r="F15" s="11" t="s">
        <v>34</v>
      </c>
      <c r="G15" s="11" t="s">
        <v>47</v>
      </c>
      <c r="H15" s="11" t="s">
        <v>30</v>
      </c>
      <c r="I15" s="11" t="s">
        <v>30</v>
      </c>
      <c r="J15" s="14">
        <v>13081</v>
      </c>
      <c r="K15" s="14">
        <v>13081</v>
      </c>
      <c r="L15" s="11">
        <v>2200</v>
      </c>
      <c r="M15" s="11">
        <v>934</v>
      </c>
      <c r="N15" s="11"/>
      <c r="O15" s="14">
        <v>116</v>
      </c>
      <c r="P15" s="14"/>
      <c r="Q15" s="11">
        <v>3099</v>
      </c>
      <c r="R15" s="14">
        <v>4400</v>
      </c>
      <c r="S15" s="11">
        <v>2332</v>
      </c>
      <c r="T15" s="14"/>
    </row>
    <row r="16" s="1" customFormat="1" ht="18" customHeight="1" spans="1:20">
      <c r="A16" s="10">
        <v>12</v>
      </c>
      <c r="B16" s="16" t="s">
        <v>67</v>
      </c>
      <c r="C16" s="11" t="s">
        <v>68</v>
      </c>
      <c r="D16" s="16" t="s">
        <v>69</v>
      </c>
      <c r="E16" s="11"/>
      <c r="F16" s="11" t="s">
        <v>34</v>
      </c>
      <c r="G16" s="11" t="s">
        <v>43</v>
      </c>
      <c r="H16" s="11" t="s">
        <v>30</v>
      </c>
      <c r="I16" s="11" t="s">
        <v>30</v>
      </c>
      <c r="J16" s="14">
        <v>18712</v>
      </c>
      <c r="K16" s="14">
        <v>18712</v>
      </c>
      <c r="L16" s="11">
        <v>3455</v>
      </c>
      <c r="M16" s="11">
        <v>1603</v>
      </c>
      <c r="N16" s="11"/>
      <c r="O16" s="14">
        <v>116</v>
      </c>
      <c r="P16" s="14"/>
      <c r="Q16" s="11">
        <v>3742</v>
      </c>
      <c r="R16" s="14">
        <v>6920</v>
      </c>
      <c r="S16" s="11">
        <v>2876</v>
      </c>
      <c r="T16" s="14"/>
    </row>
    <row r="17" s="1" customFormat="1" ht="18" customHeight="1" spans="1:20">
      <c r="A17" s="10">
        <v>13</v>
      </c>
      <c r="B17" s="16" t="s">
        <v>70</v>
      </c>
      <c r="C17" s="11" t="s">
        <v>71</v>
      </c>
      <c r="D17" s="16" t="s">
        <v>72</v>
      </c>
      <c r="E17" s="11"/>
      <c r="F17" s="11" t="s">
        <v>34</v>
      </c>
      <c r="G17" s="11" t="s">
        <v>39</v>
      </c>
      <c r="H17" s="11" t="s">
        <v>30</v>
      </c>
      <c r="I17" s="11" t="s">
        <v>30</v>
      </c>
      <c r="J17" s="14">
        <v>14031</v>
      </c>
      <c r="K17" s="14">
        <v>14031</v>
      </c>
      <c r="L17" s="11">
        <v>2520</v>
      </c>
      <c r="M17" s="11">
        <v>1251</v>
      </c>
      <c r="N17" s="11"/>
      <c r="O17" s="14">
        <v>116</v>
      </c>
      <c r="P17" s="14"/>
      <c r="Q17" s="11">
        <v>3124</v>
      </c>
      <c r="R17" s="14">
        <v>4700</v>
      </c>
      <c r="S17" s="11">
        <v>2320</v>
      </c>
      <c r="T17" s="14"/>
    </row>
    <row r="18" s="1" customFormat="1" ht="18" customHeight="1" spans="1:20">
      <c r="A18" s="10">
        <v>14</v>
      </c>
      <c r="B18" s="16" t="s">
        <v>73</v>
      </c>
      <c r="C18" s="11" t="s">
        <v>74</v>
      </c>
      <c r="D18" s="16" t="s">
        <v>75</v>
      </c>
      <c r="E18" s="11"/>
      <c r="F18" s="11" t="s">
        <v>34</v>
      </c>
      <c r="G18" s="11" t="s">
        <v>35</v>
      </c>
      <c r="H18" s="11" t="s">
        <v>30</v>
      </c>
      <c r="I18" s="11" t="s">
        <v>30</v>
      </c>
      <c r="J18" s="14">
        <v>16335</v>
      </c>
      <c r="K18" s="14">
        <v>16335</v>
      </c>
      <c r="L18" s="11">
        <v>2880</v>
      </c>
      <c r="M18" s="11">
        <v>1515</v>
      </c>
      <c r="N18" s="11"/>
      <c r="O18" s="14">
        <v>116</v>
      </c>
      <c r="P18" s="14"/>
      <c r="Q18" s="11">
        <v>3309</v>
      </c>
      <c r="R18" s="14">
        <v>5960</v>
      </c>
      <c r="S18" s="11">
        <v>2555</v>
      </c>
      <c r="T18" s="14"/>
    </row>
    <row r="19" s="4" customFormat="1" ht="21" customHeight="1" spans="1:20">
      <c r="A19" s="12" t="s">
        <v>76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="4" customFormat="1" ht="32" customHeight="1" spans="1:22">
      <c r="A20" s="12" t="s">
        <v>77</v>
      </c>
      <c r="B20" s="13"/>
      <c r="C20" s="13"/>
      <c r="D20" s="13"/>
      <c r="E20" s="13"/>
      <c r="F20" s="13"/>
      <c r="G20" s="13" t="s">
        <v>78</v>
      </c>
      <c r="H20" s="13"/>
      <c r="I20" s="13"/>
      <c r="J20" s="13"/>
      <c r="K20" s="13"/>
      <c r="L20" s="13" t="s">
        <v>79</v>
      </c>
      <c r="M20" s="13"/>
      <c r="N20" s="13"/>
      <c r="O20" s="13"/>
      <c r="P20" s="13"/>
      <c r="Q20" s="13" t="s">
        <v>80</v>
      </c>
      <c r="R20" s="13"/>
      <c r="S20" s="13"/>
      <c r="T20" s="13"/>
      <c r="U20" s="13"/>
      <c r="V20" s="13"/>
    </row>
  </sheetData>
  <mergeCells count="7">
    <mergeCell ref="A1:T1"/>
    <mergeCell ref="A2:F2"/>
    <mergeCell ref="G2:H2"/>
    <mergeCell ref="J2:M2"/>
    <mergeCell ref="Q2:T2"/>
    <mergeCell ref="A4:H4"/>
    <mergeCell ref="A19:T19"/>
  </mergeCells>
  <printOptions horizontalCentered="1"/>
  <pageMargins left="0.75" right="0.75" top="0.826388888888889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2025-03-25T05:40:00Z</dcterms:created>
  <dcterms:modified xsi:type="dcterms:W3CDTF">2025-04-17T08:55:02Z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